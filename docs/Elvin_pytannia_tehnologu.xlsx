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Як заповнювати" sheetId="1" state="visible" r:id="rId3"/>
    <sheet name="Зведення" sheetId="2" state="visible" r:id="rId4"/>
    <sheet name="Питання" sheetId="3" state="visible" r:id="rId5"/>
  </sheets>
  <definedNames>
    <definedName function="false" hidden="true" localSheetId="2" name="_xlnm._FilterDatabase" vbProcedure="false">Питання!$A$1:$M$54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<sst xmlns="http://schemas.openxmlformats.org/spreadsheetml/2006/main" count="474" uniqueCount="247">
  <si>
    <t xml:space="preserve">Elvin — питання технологу</t>
  </si>
  <si>
    <t xml:space="preserve">Відповіді переносяться у правила фабрики (rules/wardrobe-rules.js). Elvin сам правила не змінює.</t>
  </si>
  <si>
    <t xml:space="preserve">Що заповнювати</t>
  </si>
  <si>
    <t xml:space="preserve">Лише жовті клітинки на аркуші «Питання»: «Відповідь технолога», «Значення, мм», «Хто відповів», «Дата», «Статус», «Коментар».</t>
  </si>
  <si>
    <t xml:space="preserve">Відповідь</t>
  </si>
  <si>
    <t xml:space="preserve">Коротко і однозначно. Якщо залежить від креслення — опишіть, від чого саме.</t>
  </si>
  <si>
    <t xml:space="preserve">Значення, мм</t>
  </si>
  <si>
    <t xml:space="preserve">Лише числа в мм, у форматі з підказки в колонці. Невідоме — залиште порожнім, не «приблизно».</t>
  </si>
  <si>
    <t xml:space="preserve">Статус</t>
  </si>
  <si>
    <t xml:space="preserve">Відкрито → Відповідь отримано → Внесено в Elvin. «Потрібен скрипт BAZIS» — якщо відповідь можна дати лише перевіреним скриптом.</t>
  </si>
  <si>
    <t xml:space="preserve">Пріоритет</t>
  </si>
  <si>
    <t xml:space="preserve">Високий — блокує розрахунок більшості шаф. Середній — потрібен для повного коду BAZIS. Низький — можна пізніше.</t>
  </si>
  <si>
    <t xml:space="preserve">Фільтр</t>
  </si>
  <si>
    <t xml:space="preserve">У заголовках є фільтри: можна показати лише відкриті питання або один розділ.</t>
  </si>
  <si>
    <t xml:space="preserve">Приклад рядка</t>
  </si>
  <si>
    <t xml:space="preserve">Питання: «ХДФ у паз: стандартний відступ паза від заднього краю?» → Відповідь: «Стандарт 10 мм, для глибоких шаф 16 мм» · Значення: 10 · Хто: Іван · Дата: 16.10.2026 · Статус: Відповідь отримано. (Це лише приклад формату, не реальна відповідь.)</t>
  </si>
  <si>
    <t xml:space="preserve">Жовта клітинка</t>
  </si>
  <si>
    <t xml:space="preserve">— поле для заповнення</t>
  </si>
  <si>
    <t xml:space="preserve">Зведення по питаннях</t>
  </si>
  <si>
    <t xml:space="preserve">Розділ</t>
  </si>
  <si>
    <t xml:space="preserve">Усього</t>
  </si>
  <si>
    <t xml:space="preserve">Відкрито</t>
  </si>
  <si>
    <t xml:space="preserve">Відповідь отримано</t>
  </si>
  <si>
    <t xml:space="preserve">Потрібен скрипт BAZIS</t>
  </si>
  <si>
    <t xml:space="preserve">Внесено в Elvin</t>
  </si>
  <si>
    <t xml:space="preserve">Відкрито з пріоритетом «Високий»</t>
  </si>
  <si>
    <t xml:space="preserve">Корпус</t>
  </si>
  <si>
    <t xml:space="preserve">Полиці</t>
  </si>
  <si>
    <t xml:space="preserve">Перегородки</t>
  </si>
  <si>
    <t xml:space="preserve">Задня стінка</t>
  </si>
  <si>
    <t xml:space="preserve">Цоколь і ніжки</t>
  </si>
  <si>
    <t xml:space="preserve">Кромка</t>
  </si>
  <si>
    <t xml:space="preserve">Фасади</t>
  </si>
  <si>
    <t xml:space="preserve">Кріплення</t>
  </si>
  <si>
    <t xml:space="preserve">BAZIS</t>
  </si>
  <si>
    <t xml:space="preserve">Разом</t>
  </si>
  <si>
    <t xml:space="preserve">Готовність, % (внесено в Elvin від усіх питань)</t>
  </si>
  <si>
    <t xml:space="preserve">№</t>
  </si>
  <si>
    <t xml:space="preserve">Питання</t>
  </si>
  <si>
    <t xml:space="preserve">Навіщо Elvin</t>
  </si>
  <si>
    <t xml:space="preserve">Що зараз у правилах / відомо</t>
  </si>
  <si>
    <t xml:space="preserve">Варіанти</t>
  </si>
  <si>
    <t xml:space="preserve">Відповідь технолога</t>
  </si>
  <si>
    <t xml:space="preserve">Хто відповів</t>
  </si>
  <si>
    <t xml:space="preserve">Дата</t>
  </si>
  <si>
    <t xml:space="preserve">Коментар</t>
  </si>
  <si>
    <t xml:space="preserve">Високий</t>
  </si>
  <si>
    <t xml:space="preserve">Яка схема корпусу шафи стандартна: боковини стоять на суцільному дні (так у правилах) чи боковини до підлоги, а дно вкладне на цоколі (так у скрипті ТИМА ПЕТРАШ)? Коли яку застосовувати?</t>
  </si>
  <si>
    <t xml:space="preserve">Від цього залежать розміри боковин, дна і цоколю в кожній шафі.</t>
  </si>
  <si>
    <t xml:space="preserve">Правила: дно на всю ширину, боковини на дні. Еталонний скрипт: боковини до підлоги, вкладне дно на висоті 100.</t>
  </si>
  <si>
    <t xml:space="preserve">Боковини на дні / Боковини до підлоги / Залежить від креслення</t>
  </si>
  <si>
    <t xml:space="preserve">Середній</t>
  </si>
  <si>
    <t xml:space="preserve">Коли верх (кришка KR) накладний, а не вкладний між боковинами? Як це видно на кресленні?</t>
  </si>
  <si>
    <t xml:space="preserve">Розмір кришки і висота боковин.</t>
  </si>
  <si>
    <t xml:space="preserve">Стандарт: вкладний між боковинами.</t>
  </si>
  <si>
    <t xml:space="preserve">Як з креслення зрозуміти, чи загальна глибина включає фасад?</t>
  </si>
  <si>
    <t xml:space="preserve">Формула глибини корпусу: глибина − товщина фасаду − 2 мм.</t>
  </si>
  <si>
    <t xml:space="preserve">Формула затверджена, але ознака на кресленні не описана.</t>
  </si>
  <si>
    <t xml:space="preserve">Низький</t>
  </si>
  <si>
    <t xml:space="preserve">Коли використовується ламінована конструкція 18+18 мм (≈37 мм) і як вона позначається на кресленні?</t>
  </si>
  <si>
    <t xml:space="preserve">Товщина деталей.</t>
  </si>
  <si>
    <t xml:space="preserve">Статус ASK: шари 18+18, клей ≈1 мм.</t>
  </si>
  <si>
    <t xml:space="preserve">ДСП 18 або склейка 37 мм (18 + 18 + 1 мм клею)</t>
  </si>
  <si>
    <t xml:space="preserve">18 / 37</t>
  </si>
  <si>
    <t xml:space="preserve">Користувач (чат)</t>
  </si>
  <si>
    <t xml:space="preserve">17.10.2026</t>
  </si>
  <si>
    <t xml:space="preserve">Розміри секцій на кресленнях зазвичай проставлені у світлі (між деталями), по осях чи зовнішні?</t>
  </si>
  <si>
    <t xml:space="preserve">Elvin зараз розраховує лише розміри у світлі.</t>
  </si>
  <si>
    <t xml:space="preserve">Не визначено.</t>
  </si>
  <si>
    <t xml:space="preserve">У світлі / По осях / Зовнішні / По-різному</t>
  </si>
  <si>
    <t xml:space="preserve">Якщо сума розмірів секцій на кресленні не збігається з габаритом на 1–3 мм: завжди питати чи є допуск? Якщо є допуск — у яку секцію переносити різницю?</t>
  </si>
  <si>
    <t xml:space="preserve">Зараз Elvin зупиняється і питає за будь-якої різниці.</t>
  </si>
  <si>
    <t xml:space="preserve">Допуск 0 мм.</t>
  </si>
  <si>
    <t xml:space="preserve">Втоплення полиць 50 мм — від переднього краю чи від задньої стінки?</t>
  </si>
  <si>
    <t xml:space="preserve">У скрипті ТИМА ПЕТРАШ коментар каже «від переднього краю», а координати ставлять полицю врівень із фронтом.</t>
  </si>
  <si>
    <t xml:space="preserve">Elvin робить відступ від фронту.</t>
  </si>
  <si>
    <t xml:space="preserve">Від фронту / Від задньої стінки</t>
  </si>
  <si>
    <t xml:space="preserve">Коли полиці втоплюються взагалі і на скільки зазвичай?</t>
  </si>
  <si>
    <t xml:space="preserve">Глибина полиць.</t>
  </si>
  <si>
    <t xml:space="preserve">Стандарт: глибина полиці = глибина корпусу.</t>
  </si>
  <si>
    <t xml:space="preserve">Стандарт: на всю глибину корпусу (при накладній ХДФ)</t>
  </si>
  <si>
    <t xml:space="preserve">0</t>
  </si>
  <si>
    <t xml:space="preserve">16.10.2026</t>
  </si>
  <si>
    <t xml:space="preserve">Полиці кріпляться на конфірмати (нерухомі) чи стоять на полицетримачах (знімні)? Як це позначається?</t>
  </si>
  <si>
    <t xml:space="preserve">Кріплення і, можливо, довжина полиці (зазор для знімної).</t>
  </si>
  <si>
    <t xml:space="preserve">Конфірмати / Полицетримачі / По кресленню</t>
  </si>
  <si>
    <t xml:space="preserve">Чи знімна полиця коротша за проріз? Якщо так — на скільки?</t>
  </si>
  <si>
    <t xml:space="preserve">Розмір POLKA.</t>
  </si>
  <si>
    <t xml:space="preserve">Штанга для одягу: чи має Elvin додавати її в BAZIS? Висота під полицею, тип, кріплення.</t>
  </si>
  <si>
    <t xml:space="preserve">Комплектність замовлення.</t>
  </si>
  <si>
    <t xml:space="preserve">Середня стійка ST_SR завжди йде від дна до кришки? Коли стійка стоїть на полиці (між двома полицями)?</t>
  </si>
  <si>
    <t xml:space="preserve">Висота ST_SR.</t>
  </si>
  <si>
    <t xml:space="preserve">Правило: стоїть на дні, доходить до кришки.</t>
  </si>
  <si>
    <t xml:space="preserve">Розпорка при прольоті від 900 мм: коли саме додавати автоматично і для якої товщини ДСП?</t>
  </si>
  <si>
    <t xml:space="preserve">Додаткові деталі.</t>
  </si>
  <si>
    <t xml:space="preserve">Перевірено: ДСП 18, висота 100, ззаду під полицею, 2 шканти на торець.</t>
  </si>
  <si>
    <t xml:space="preserve">Максимальний проліт полиці без опори для ДСП 16 і ДСП 18?</t>
  </si>
  <si>
    <t xml:space="preserve">Попередження про прогин.</t>
  </si>
  <si>
    <t xml:space="preserve">Накладна ХДФ: наскільки лист менший за корпус зверху, знизу, ліворуч, праворуч?</t>
  </si>
  <si>
    <t xml:space="preserve">Розмір TYL.</t>
  </si>
  <si>
    <t xml:space="preserve">У скрипті: знизу +2 мм від низу дна, зверху −2 мм, з боків рівно по секції.</t>
  </si>
  <si>
    <t xml:space="preserve">мм: верх / низ / ліво / право</t>
  </si>
  <si>
    <t xml:space="preserve">Формат значення: мм: верх / низ / ліво / право</t>
  </si>
  <si>
    <t xml:space="preserve">Накладна ХДФ по секціях: на скільки лист заходить на стійку ST_SR і на боковину?</t>
  </si>
  <si>
    <t xml:space="preserve">У скрипті ТИМА ПЕТРАШ кожен лист рівно 630 мм, тобто 0 мм на стійку.</t>
  </si>
  <si>
    <t xml:space="preserve">Коли ставити один цільний лист ХДФ замість окремих по секціях? Що вважається «малою шафою»?</t>
  </si>
  <si>
    <t xml:space="preserve">Кількість і розмір TYL.</t>
  </si>
  <si>
    <t xml:space="preserve">Окремий лист на секцію або один цільний для малої шафи.</t>
  </si>
  <si>
    <t xml:space="preserve">Якщо вміщується в лист 2800×2070 / Інше</t>
  </si>
  <si>
    <t xml:space="preserve">Якщо одна секція більша за лист 2800×2070 — як ділити ХДФ? Де робити стик?</t>
  </si>
  <si>
    <t xml:space="preserve">Розкрій TYL.</t>
  </si>
  <si>
    <t xml:space="preserve">Лист макс. 2800×2070 мм.</t>
  </si>
  <si>
    <t xml:space="preserve">ХДФ у паз: на скільки лист заходить у паз (паз 9 мм завглибшки) і який зазор?</t>
  </si>
  <si>
    <t xml:space="preserve">Розмір TYL у пазу.</t>
  </si>
  <si>
    <t xml:space="preserve">Паз 4×9 мм, ХДФ 3 мм.</t>
  </si>
  <si>
    <t xml:space="preserve">ХДФ у паз: угорі паз у кришці чи ХДФ заходить під кришку?</t>
  </si>
  <si>
    <t xml:space="preserve">Деталі, у яких робиться паз.</t>
  </si>
  <si>
    <t xml:space="preserve">Паз у лівій і правій боковинах та в дні.</t>
  </si>
  <si>
    <t xml:space="preserve">Паз у кришці / Під кришку</t>
  </si>
  <si>
    <t xml:space="preserve">Паз лише з 3 боків (ліва, права, дно); ХДФ вставляється зверху за вкладну кришку</t>
  </si>
  <si>
    <t xml:space="preserve">Відкрито: як при накладній кришці (у GibLab траплялось KR_PAZ)</t>
  </si>
  <si>
    <t xml:space="preserve">ХДФ у паз: стандартний відступ паза від заднього краю?</t>
  </si>
  <si>
    <t xml:space="preserve">Положення паза і глибина полиць.</t>
  </si>
  <si>
    <t xml:space="preserve">Дозволено 5–20 мм.</t>
  </si>
  <si>
    <t xml:space="preserve">14 мм від заднього краю; паз 4 × 9 мм</t>
  </si>
  <si>
    <t xml:space="preserve">14</t>
  </si>
  <si>
    <t xml:space="preserve">ХДФ у паз: максимальний розмір листа?</t>
  </si>
  <si>
    <t xml:space="preserve">Розкрій.</t>
  </si>
  <si>
    <t xml:space="preserve">ХДФ у паз: надіслати перевірений скрипт BAZIS із операцією паза.</t>
  </si>
  <si>
    <t xml:space="preserve">Без нього Elvin не генерує паз.</t>
  </si>
  <si>
    <t xml:space="preserve">Паз на паузі до перевірки в BAZIS.</t>
  </si>
  <si>
    <t xml:space="preserve">Вибірка (чверть): ширина і глибина?</t>
  </si>
  <si>
    <t xml:space="preserve">Обробка деталей.</t>
  </si>
  <si>
    <t xml:space="preserve">Немає даних.</t>
  </si>
  <si>
    <t xml:space="preserve">мм: ширина × глибина</t>
  </si>
  <si>
    <t xml:space="preserve">Формат значення: мм: ширина × глибина</t>
  </si>
  <si>
    <t xml:space="preserve">Вибірка: у яких деталях робиться (боковини, дно, кришка, стійки)?</t>
  </si>
  <si>
    <t xml:space="preserve">Вибірка: розмір ХДФ і чим кріпиться?</t>
  </si>
  <si>
    <t xml:space="preserve">Вибірка: надіслати перевірений скрипт BAZIS із цією операцією.</t>
  </si>
  <si>
    <t xml:space="preserve">Без нього Elvin не генерує вибірку.</t>
  </si>
  <si>
    <t xml:space="preserve">Задня стінка з ДСП: розміри відносно корпусу і кріплення?</t>
  </si>
  <si>
    <t xml:space="preserve">Окрема деталь.</t>
  </si>
  <si>
    <t xml:space="preserve">Статус ASK, кріплення не визначене.</t>
  </si>
  <si>
    <t xml:space="preserve">Якщо на кресленні не вказано тип задньої стінки — що ставити за замовчуванням?</t>
  </si>
  <si>
    <t xml:space="preserve">Щоб Elvin не питав щоразу.</t>
  </si>
  <si>
    <t xml:space="preserve">Зараз Elvin питає.</t>
  </si>
  <si>
    <t xml:space="preserve">Накладна ХДФ / Завжди питати</t>
  </si>
  <si>
    <t xml:space="preserve">Цоколь пластиковий чи з ДСП — коли який? Чи пластиковий цоколь потрібен як деталь у BAZIS?</t>
  </si>
  <si>
    <t xml:space="preserve">Деталь COKOL.</t>
  </si>
  <si>
    <t xml:space="preserve">Відомі типи: пластиковий, дерев'яний.</t>
  </si>
  <si>
    <t xml:space="preserve">Ширина цоколю: між боковинами (як у скрипті, W − 2T) чи інакше, коли боковини стоять на дні?</t>
  </si>
  <si>
    <t xml:space="preserve">Розмір COKOL.</t>
  </si>
  <si>
    <t xml:space="preserve">Висота 100, відступ 20 від фронту.</t>
  </si>
  <si>
    <t xml:space="preserve">Чи потрібен боковий або задній цоколь (для шафи, що стоїть окремо)?</t>
  </si>
  <si>
    <t xml:space="preserve">Ніжки 100 чи 150 мм — коли які? Ніжки завжди разом із цоколем?</t>
  </si>
  <si>
    <t xml:space="preserve">Висота опори.</t>
  </si>
  <si>
    <t xml:space="preserve">Розстановка ніжок затверджена (50/70/50, крок ≤500).</t>
  </si>
  <si>
    <t xml:space="preserve">Низька опора ≈7 мм: точна назва фурнітури і конструкція.</t>
  </si>
  <si>
    <t xml:space="preserve">Зараз на паузі.</t>
  </si>
  <si>
    <t xml:space="preserve">Боковини: верхній і нижній торці — KR08 завжди? А коли боковина стоїть на дні?</t>
  </si>
  <si>
    <t xml:space="preserve">Кромкування ST_L/ST_R.</t>
  </si>
  <si>
    <t xml:space="preserve">У скрипті при боковинах до підлоги верх і низ KR08.</t>
  </si>
  <si>
    <t xml:space="preserve">Стійки ST_SR: верхній і нижній торці без кромки, перед KR08, зад BUM02 — це стандарт?</t>
  </si>
  <si>
    <t xml:space="preserve">Кромкування ST_SR.</t>
  </si>
  <si>
    <t xml:space="preserve">Так у скрипті ТИМА ПЕТРАШ.</t>
  </si>
  <si>
    <t xml:space="preserve">Так / Ні</t>
  </si>
  <si>
    <t xml:space="preserve">Полиці POLKA: перед KR08, зад BUM02, бокові торці без кромки — це стандарт? А для втопленої полиці?</t>
  </si>
  <si>
    <t xml:space="preserve">Кромкування POLKA.</t>
  </si>
  <si>
    <t xml:space="preserve">Вкладні дно DNO і кришка KR: перед KR08, зад BUM02, боки без кромки — це стандарт?</t>
  </si>
  <si>
    <t xml:space="preserve">Кромкування DNO/KR.</t>
  </si>
  <si>
    <t xml:space="preserve">Для суцільного дна: перед, ліво, право KR08, зад BUM02.</t>
  </si>
  <si>
    <t xml:space="preserve">Цоколь COKOL: на якому торці KR08 (у скрипті торець 0)?</t>
  </si>
  <si>
    <t xml:space="preserve">Кромкування COKOL.</t>
  </si>
  <si>
    <t xml:space="preserve">У скрипті один торець KR08.</t>
  </si>
  <si>
    <t xml:space="preserve">Вкладні фасади: верхній і нижній зазори?</t>
  </si>
  <si>
    <t xml:space="preserve">Розміри вкладних фасадів.</t>
  </si>
  <si>
    <t xml:space="preserve">Боки 2 мм, між фасадами 2 мм.</t>
  </si>
  <si>
    <t xml:space="preserve">мм: верх / низ</t>
  </si>
  <si>
    <t xml:space="preserve">Формат значення: мм: верх / низ</t>
  </si>
  <si>
    <t xml:space="preserve">Матеріал фасадів за замовчуванням ДСП 18? Які товщини МДФ використовуються?</t>
  </si>
  <si>
    <t xml:space="preserve">Матеріал і товщина фасадів.</t>
  </si>
  <si>
    <t xml:space="preserve">Стандарт ДСП 18, МДФ — за проєктом.</t>
  </si>
  <si>
    <t xml:space="preserve">ДСП 18 мм (фабрика використовує ДСП 18 і склейку 37 мм)</t>
  </si>
  <si>
    <t xml:space="preserve">18</t>
  </si>
  <si>
    <t xml:space="preserve">Петлі та ручки: чи має Elvin додавати їх і свердління під них у BAZIS? Кількість петель за висотою фасаду?</t>
  </si>
  <si>
    <t xml:space="preserve">Фурнітура.</t>
  </si>
  <si>
    <t xml:space="preserve">Пари деталей для MountScheme як у скрипті ТИМА ПЕТРАШ (дно і кришка до боковин, стійки до дна і кришки, полиці до стійок, цоколь до боковин і дна) — це стандарт?</t>
  </si>
  <si>
    <t xml:space="preserve">Свердління в BAZIS.</t>
  </si>
  <si>
    <t xml:space="preserve">Стандарт: конфірмат + шкант через MountScheme.</t>
  </si>
  <si>
    <t xml:space="preserve">Що означає третій параметр MountScheme (0)? Чи є інші схеми, наприклад для полицетримачів?</t>
  </si>
  <si>
    <t xml:space="preserve">Свердління.</t>
  </si>
  <si>
    <t xml:space="preserve">У скрипті завжди 0.</t>
  </si>
  <si>
    <t xml:space="preserve">ХДФ на цвяхи: чи потрібно щось додавати в BAZIS (крок, позначки)?</t>
  </si>
  <si>
    <t xml:space="preserve">Комплектність коду.</t>
  </si>
  <si>
    <t xml:space="preserve">Кріплення: цвяхи.</t>
  </si>
  <si>
    <t xml:space="preserve">Повний список стандартних назв деталей: фасад, розпорка, штанга, бокова планка тощо.</t>
  </si>
  <si>
    <t xml:space="preserve">Назви в коді BAZIS.</t>
  </si>
  <si>
    <t xml:space="preserve">Відомі: ST_L, ST_R, ST_SR, DNO, KR, POLKA, TYL, COKOL.</t>
  </si>
  <si>
    <t xml:space="preserve">Точні назви матеріалів з бібліотеки BAZIS (наприклад «ДСП 16», «ХДФ 3»).</t>
  </si>
  <si>
    <t xml:space="preserve">Щоб SetupActiveMaterial знаходив матеріал.</t>
  </si>
  <si>
    <t xml:space="preserve">У скрипті: «ДСП 16», «ХДФ 3».</t>
  </si>
  <si>
    <t xml:space="preserve">У якому форматі давати назву проєкту і файлу в BAZIS?</t>
  </si>
  <si>
    <t xml:space="preserve">CommitCurrentChanges і назва файлу.</t>
  </si>
  <si>
    <t xml:space="preserve">У скрипті назва замовлення малими літерами.</t>
  </si>
  <si>
    <t xml:space="preserve">Порядок пріоритету для конструкцій на паузі: розсувні двері, дзеркала, алюмінієві фасади, шухляди.</t>
  </si>
  <si>
    <t xml:space="preserve">План розвитку Elvin.</t>
  </si>
  <si>
    <t xml:space="preserve">Усі на паузі.</t>
  </si>
  <si>
    <t xml:space="preserve">Зазори накладних фасадів.</t>
  </si>
  <si>
    <t xml:space="preserve">Розміри фасадів.</t>
  </si>
  <si>
    <t xml:space="preserve">Верх 3, низ 3, боки 2, між фасадами 4 мм (по горизонталі й вертикалі)</t>
  </si>
  <si>
    <t xml:space="preserve">3 / 3 / 2 / 4</t>
  </si>
  <si>
    <t xml:space="preserve">Між фасадами 4 мм — за реальним замовленням (GibLab), підтверджено 16.10.2026</t>
  </si>
  <si>
    <t xml:space="preserve">Максимальний розмір листа ХДФ.</t>
  </si>
  <si>
    <t xml:space="preserve">2800 × 2070 мм</t>
  </si>
  <si>
    <t xml:space="preserve">2800 × 2070</t>
  </si>
  <si>
    <t xml:space="preserve">15.10.2026</t>
  </si>
  <si>
    <t xml:space="preserve">Накладна ХДФ: один лист чи окремі по секціях?</t>
  </si>
  <si>
    <t xml:space="preserve">Кількість TYL.</t>
  </si>
  <si>
    <t xml:space="preserve">Окремі на кожну секцію; для малої шафи можна один цільний</t>
  </si>
  <si>
    <t xml:space="preserve">Назви деталей у коді BAZIS.</t>
  </si>
  <si>
    <t xml:space="preserve">Назви деталей.</t>
  </si>
  <si>
    <t xml:space="preserve">Як на фабриці: ST_L, ST_R, ST_SR, DNO, KR, POLKA, TYL, COKOL</t>
  </si>
  <si>
    <t xml:space="preserve">Розміри деталей у GibLab — готові (з кромкою) чи заготовки?</t>
  </si>
  <si>
    <t xml:space="preserve">Звірка Elvin з GibLab.</t>
  </si>
  <si>
    <t xml:space="preserve">Готові розміри деталей</t>
  </si>
  <si>
    <t xml:space="preserve">Кромка фасадів: ABS 1 мм (як у GibLab) чи KR08 0,8 мм?</t>
  </si>
  <si>
    <t xml:space="preserve">Кромкування фасадів.</t>
  </si>
  <si>
    <t xml:space="preserve">Правила: KR08 0,8 мм.</t>
  </si>
  <si>
    <t xml:space="preserve">Лишаємо KR08 0,8 мм; змінюється в 1 клік</t>
  </si>
  <si>
    <t xml:space="preserve">Накладна кришка комода/тумби глибша за корпус на 20 мм (виступ спереду)?</t>
  </si>
  <si>
    <t xml:space="preserve">Глибина кришки і корпусу.</t>
  </si>
  <si>
    <t xml:space="preserve">Комоди 1350 і 1800: 350/330, 500/480.</t>
  </si>
  <si>
    <t xml:space="preserve">Так, стандарт</t>
  </si>
  <si>
    <t xml:space="preserve">20</t>
  </si>
  <si>
    <t xml:space="preserve">ХДФ у паз: лист = проріз + 14 мм по ширині і + 16 мм по висоті?</t>
  </si>
  <si>
    <t xml:space="preserve">Комоди 1350 і 1800: 1328 = 1314+14, 670 = 654+16; 1778 = 1764+14, 960 = 944+16.</t>
  </si>
  <si>
    <t xml:space="preserve">Паз у лівій, правій боковині і дні; ХДФ = проріз + 16 (по 8 мм у паз)</t>
  </si>
  <si>
    <t xml:space="preserve">+16</t>
  </si>
  <si>
    <t xml:space="preserve">Вкладне дно/кришка на 2 мм вужчі за проріз?</t>
  </si>
  <si>
    <t xml:space="preserve">Розмір DNO/KR.</t>
  </si>
  <si>
    <t xml:space="preserve">Комоди: −2 мм; шафа 1500: рівно в проріз.</t>
  </si>
  <si>
    <t xml:space="preserve">Стандарт фабрики: рівно в проріз (без відступу)</t>
  </si>
  <si>
    <t xml:space="preserve">Єдиний стандарт для внутрішніх деталей (дно, кришка, полиці, стійки): відступи по довжині й глибині?</t>
  </si>
  <si>
    <t xml:space="preserve">Однаковий результат у всіх технологів.</t>
  </si>
  <si>
    <t xml:space="preserve">У замовленнях траплялось 0, −1, −2 мм.</t>
  </si>
  <si>
    <t xml:space="preserve">Рівно в проріз і на всю глибину; знімні полиці — так само</t>
  </si>
  <si>
    <t xml:space="preserve">0 / 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</si>
</sst>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9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26.25" hidden="false" customHeight="true" outlineLevel="0" collapsed="false">
      <c r="B5" s="4" t="s">
        <v>2</v>
      </c>
      <c r="C5" s="5" t="s">
        <v>3</v>
      </c>
    </row>
    <row r="6" customFormat="false" ht="15" hidden="false" customHeight="true" outlineLevel="0" collapsed="false">
      <c r="B6" s="4" t="s">
        <v>4</v>
      </c>
      <c r="C6" s="5" t="s">
        <v>5</v>
      </c>
    </row>
    <row r="7" customFormat="false" ht="26.25" hidden="false" customHeight="true" outlineLevel="0" collapsed="false">
      <c r="B7" s="4" t="s">
        <v>6</v>
      </c>
      <c r="C7" s="5" t="s">
        <v>7</v>
      </c>
    </row>
    <row r="8" customFormat="false" ht="26.25" hidden="false" customHeight="true" outlineLevel="0" collapsed="false">
      <c r="B8" s="4" t="s">
        <v>8</v>
      </c>
      <c r="C8" s="5" t="s">
        <v>9</v>
      </c>
    </row>
    <row r="9" customFormat="false" ht="26.25" hidden="false" customHeight="true" outlineLevel="0" collapsed="false">
      <c r="B9" s="4" t="s">
        <v>10</v>
      </c>
      <c r="C9" s="5" t="s">
        <v>11</v>
      </c>
    </row>
    <row r="10" customFormat="false" ht="15" hidden="false" customHeight="true" outlineLevel="0" collapsed="false">
      <c r="B10" s="4" t="s">
        <v>12</v>
      </c>
      <c r="C10" s="5" t="s">
        <v>13</v>
      </c>
    </row>
    <row r="11" customFormat="false" ht="39" hidden="false" customHeight="true" outlineLevel="0" collapsed="false">
      <c r="B11" s="4" t="s">
        <v>14</v>
      </c>
      <c r="C11" s="5" t="s">
        <v>15</v>
      </c>
    </row>
    <row r="13" customFormat="false" ht="15" hidden="false" customHeight="true" outlineLevel="0" collapsed="false">
      <c r="B13" s="6" t="s">
        <v>16</v>
      </c>
      <c r="C13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8" t="s">
        <v>18</v>
      </c>
    </row>
    <row r="3" customFormat="false" ht="45" hidden="false" customHeight="true" outlineLevel="0" collapsed="false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</row>
    <row r="4" customFormat="false" ht="15" hidden="false" customHeight="true" outlineLevel="0" collapsed="false">
      <c r="A4" s="10" t="s">
        <v>26</v>
      </c>
      <c r="B4" s="11" t="n">
        <f aca="false">COUNTIF(Питання!$B$2:$B$200,A4)</f>
        <v>9</v>
      </c>
      <c r="C4" s="11" t="n">
        <f aca="false">COUNTIFS(Питання!$B$2:$B$200,A4,Питання!$L$2:$L$200,"Відкрито")</f>
        <v>5</v>
      </c>
      <c r="D4" s="11" t="n">
        <f aca="false">COUNTIFS(Питання!$B$2:$B$200,A4,Питання!$L$2:$L$200,"Відповідь отримано")</f>
        <v>0</v>
      </c>
      <c r="E4" s="11" t="n">
        <f aca="false">COUNTIFS(Питання!$B$2:$B$200,A4,Питання!$L$2:$L$200,"Потрібен скрипт BAZIS")</f>
        <v>0</v>
      </c>
      <c r="F4" s="11" t="n">
        <f aca="false">COUNTIFS(Питання!$B$2:$B$200,A4,Питання!$L$2:$L$200,"Внесено в Elvin")</f>
        <v>4</v>
      </c>
      <c r="G4" s="11" t="n">
        <f aca="false">COUNTIFS(Питання!$B$2:$B$200,A4,Питання!$L$2:$L$200,"Відкрито",Питання!$C$2:$C$200,"Високий")</f>
        <v>4</v>
      </c>
    </row>
    <row r="5" customFormat="false" ht="15" hidden="false" customHeight="true" outlineLevel="0" collapsed="false">
      <c r="A5" s="10" t="s">
        <v>27</v>
      </c>
      <c r="B5" s="11" t="n">
        <f aca="false">COUNTIF(Питання!$B$2:$B$200,A5)</f>
        <v>5</v>
      </c>
      <c r="C5" s="11" t="n">
        <f aca="false">COUNTIFS(Питання!$B$2:$B$200,A5,Питання!$L$2:$L$200,"Відкрито")</f>
        <v>4</v>
      </c>
      <c r="D5" s="11" t="n">
        <f aca="false">COUNTIFS(Питання!$B$2:$B$200,A5,Питання!$L$2:$L$200,"Відповідь отримано")</f>
        <v>0</v>
      </c>
      <c r="E5" s="11" t="n">
        <f aca="false">COUNTIFS(Питання!$B$2:$B$200,A5,Питання!$L$2:$L$200,"Потрібен скрипт BAZIS")</f>
        <v>0</v>
      </c>
      <c r="F5" s="11" t="n">
        <f aca="false">COUNTIFS(Питання!$B$2:$B$200,A5,Питання!$L$2:$L$200,"Внесено в Elvin")</f>
        <v>1</v>
      </c>
      <c r="G5" s="11" t="n">
        <f aca="false">COUNTIFS(Питання!$B$2:$B$200,A5,Питання!$L$2:$L$200,"Відкрито",Питання!$C$2:$C$200,"Високий")</f>
        <v>1</v>
      </c>
    </row>
    <row r="6" customFormat="false" ht="15" hidden="false" customHeight="true" outlineLevel="0" collapsed="false">
      <c r="A6" s="10" t="s">
        <v>28</v>
      </c>
      <c r="B6" s="11" t="n">
        <f aca="false">COUNTIF(Питання!$B$2:$B$200,A6)</f>
        <v>3</v>
      </c>
      <c r="C6" s="11" t="n">
        <f aca="false">COUNTIFS(Питання!$B$2:$B$200,A6,Питання!$L$2:$L$200,"Відкрито")</f>
        <v>3</v>
      </c>
      <c r="D6" s="11" t="n">
        <f aca="false">COUNTIFS(Питання!$B$2:$B$200,A6,Питання!$L$2:$L$200,"Відповідь отримано")</f>
        <v>0</v>
      </c>
      <c r="E6" s="11" t="n">
        <f aca="false">COUNTIFS(Питання!$B$2:$B$200,A6,Питання!$L$2:$L$200,"Потрібен скрипт BAZIS")</f>
        <v>0</v>
      </c>
      <c r="F6" s="11" t="n">
        <f aca="false">COUNTIFS(Питання!$B$2:$B$200,A6,Питання!$L$2:$L$200,"Внесено в Elvin")</f>
        <v>0</v>
      </c>
      <c r="G6" s="11" t="n">
        <f aca="false">COUNTIFS(Питання!$B$2:$B$200,A6,Питання!$L$2:$L$200,"Відкрито",Питання!$C$2:$C$200,"Високий")</f>
        <v>0</v>
      </c>
    </row>
    <row r="7" customFormat="false" ht="15" hidden="false" customHeight="true" outlineLevel="0" collapsed="false">
      <c r="A7" s="10" t="s">
        <v>29</v>
      </c>
      <c r="B7" s="11" t="n">
        <f aca="false">COUNTIF(Питання!$B$2:$B$200,A7)</f>
        <v>18</v>
      </c>
      <c r="C7" s="11" t="n">
        <f aca="false">COUNTIFS(Питання!$B$2:$B$200,A7,Питання!$L$2:$L$200,"Відкрито")</f>
        <v>13</v>
      </c>
      <c r="D7" s="11" t="n">
        <f aca="false">COUNTIFS(Питання!$B$2:$B$200,A7,Питання!$L$2:$L$200,"Відповідь отримано")</f>
        <v>0</v>
      </c>
      <c r="E7" s="11" t="n">
        <f aca="false">COUNTIFS(Питання!$B$2:$B$200,A7,Питання!$L$2:$L$200,"Потрібен скрипт BAZIS")</f>
        <v>0</v>
      </c>
      <c r="F7" s="11" t="n">
        <f aca="false">COUNTIFS(Питання!$B$2:$B$200,A7,Питання!$L$2:$L$200,"Внесено в Elvin")</f>
        <v>5</v>
      </c>
      <c r="G7" s="11" t="n">
        <f aca="false">COUNTIFS(Питання!$B$2:$B$200,A7,Питання!$L$2:$L$200,"Відкрито",Питання!$C$2:$C$200,"Високий")</f>
        <v>4</v>
      </c>
    </row>
    <row r="8" customFormat="false" ht="15" hidden="false" customHeight="true" outlineLevel="0" collapsed="false">
      <c r="A8" s="10" t="s">
        <v>30</v>
      </c>
      <c r="B8" s="11" t="n">
        <f aca="false">COUNTIF(Питання!$B$2:$B$200,A8)</f>
        <v>5</v>
      </c>
      <c r="C8" s="11" t="n">
        <f aca="false">COUNTIFS(Питання!$B$2:$B$200,A8,Питання!$L$2:$L$200,"Відкрито")</f>
        <v>5</v>
      </c>
      <c r="D8" s="11" t="n">
        <f aca="false">COUNTIFS(Питання!$B$2:$B$200,A8,Питання!$L$2:$L$200,"Відповідь отримано")</f>
        <v>0</v>
      </c>
      <c r="E8" s="11" t="n">
        <f aca="false">COUNTIFS(Питання!$B$2:$B$200,A8,Питання!$L$2:$L$200,"Потрібен скрипт BAZIS")</f>
        <v>0</v>
      </c>
      <c r="F8" s="11" t="n">
        <f aca="false">COUNTIFS(Питання!$B$2:$B$200,A8,Питання!$L$2:$L$200,"Внесено в Elvin")</f>
        <v>0</v>
      </c>
      <c r="G8" s="11" t="n">
        <f aca="false">COUNTIFS(Питання!$B$2:$B$200,A8,Питання!$L$2:$L$200,"Відкрито",Питання!$C$2:$C$200,"Високий")</f>
        <v>0</v>
      </c>
    </row>
    <row r="9" customFormat="false" ht="15" hidden="false" customHeight="true" outlineLevel="0" collapsed="false">
      <c r="A9" s="10" t="s">
        <v>31</v>
      </c>
      <c r="B9" s="11" t="n">
        <f aca="false">COUNTIF(Питання!$B$2:$B$200,A9)</f>
        <v>5</v>
      </c>
      <c r="C9" s="11" t="n">
        <f aca="false">COUNTIFS(Питання!$B$2:$B$200,A9,Питання!$L$2:$L$200,"Відкрито")</f>
        <v>5</v>
      </c>
      <c r="D9" s="11" t="n">
        <f aca="false">COUNTIFS(Питання!$B$2:$B$200,A9,Питання!$L$2:$L$200,"Відповідь отримано")</f>
        <v>0</v>
      </c>
      <c r="E9" s="11" t="n">
        <f aca="false">COUNTIFS(Питання!$B$2:$B$200,A9,Питання!$L$2:$L$200,"Потрібен скрипт BAZIS")</f>
        <v>0</v>
      </c>
      <c r="F9" s="11" t="n">
        <f aca="false">COUNTIFS(Питання!$B$2:$B$200,A9,Питання!$L$2:$L$200,"Внесено в Elvin")</f>
        <v>0</v>
      </c>
      <c r="G9" s="11" t="n">
        <f aca="false">COUNTIFS(Питання!$B$2:$B$200,A9,Питання!$L$2:$L$200,"Відкрито",Питання!$C$2:$C$200,"Високий")</f>
        <v>0</v>
      </c>
    </row>
    <row r="10" customFormat="false" ht="15" hidden="false" customHeight="true" outlineLevel="0" collapsed="false">
      <c r="A10" s="10" t="s">
        <v>32</v>
      </c>
      <c r="B10" s="11" t="n">
        <f aca="false">COUNTIF(Питання!$B$2:$B$200,A10)</f>
        <v>5</v>
      </c>
      <c r="C10" s="11" t="n">
        <f aca="false">COUNTIFS(Питання!$B$2:$B$200,A10,Питання!$L$2:$L$200,"Відкрито")</f>
        <v>2</v>
      </c>
      <c r="D10" s="11" t="n">
        <f aca="false">COUNTIFS(Питання!$B$2:$B$200,A10,Питання!$L$2:$L$200,"Відповідь отримано")</f>
        <v>0</v>
      </c>
      <c r="E10" s="11" t="n">
        <f aca="false">COUNTIFS(Питання!$B$2:$B$200,A10,Питання!$L$2:$L$200,"Потрібен скрипт BAZIS")</f>
        <v>0</v>
      </c>
      <c r="F10" s="11" t="n">
        <f aca="false">COUNTIFS(Питання!$B$2:$B$200,A10,Питання!$L$2:$L$200,"Внесено в Elvin")</f>
        <v>3</v>
      </c>
      <c r="G10" s="11" t="n">
        <f aca="false">COUNTIFS(Питання!$B$2:$B$200,A10,Питання!$L$2:$L$200,"Відкрито",Питання!$C$2:$C$200,"Високий")</f>
        <v>0</v>
      </c>
    </row>
    <row r="11" customFormat="false" ht="15" hidden="false" customHeight="true" outlineLevel="0" collapsed="false">
      <c r="A11" s="10" t="s">
        <v>33</v>
      </c>
      <c r="B11" s="11" t="n">
        <f aca="false">COUNTIF(Питання!$B$2:$B$200,A11)</f>
        <v>3</v>
      </c>
      <c r="C11" s="11" t="n">
        <f aca="false">COUNTIFS(Питання!$B$2:$B$200,A11,Питання!$L$2:$L$200,"Відкрито")</f>
        <v>3</v>
      </c>
      <c r="D11" s="11" t="n">
        <f aca="false">COUNTIFS(Питання!$B$2:$B$200,A11,Питання!$L$2:$L$200,"Відповідь отримано")</f>
        <v>0</v>
      </c>
      <c r="E11" s="11" t="n">
        <f aca="false">COUNTIFS(Питання!$B$2:$B$200,A11,Питання!$L$2:$L$200,"Потрібен скрипт BAZIS")</f>
        <v>0</v>
      </c>
      <c r="F11" s="11" t="n">
        <f aca="false">COUNTIFS(Питання!$B$2:$B$200,A11,Питання!$L$2:$L$200,"Внесено в Elvin")</f>
        <v>0</v>
      </c>
      <c r="G11" s="11" t="n">
        <f aca="false">COUNTIFS(Питання!$B$2:$B$200,A11,Питання!$L$2:$L$200,"Відкрито",Питання!$C$2:$C$200,"Високий")</f>
        <v>0</v>
      </c>
    </row>
    <row r="12" customFormat="false" ht="15" hidden="false" customHeight="true" outlineLevel="0" collapsed="false">
      <c r="A12" s="10" t="s">
        <v>34</v>
      </c>
      <c r="B12" s="11" t="n">
        <f aca="false">COUNTIF(Питання!$B$2:$B$200,A12)</f>
        <v>6</v>
      </c>
      <c r="C12" s="11" t="n">
        <f aca="false">COUNTIFS(Питання!$B$2:$B$200,A12,Питання!$L$2:$L$200,"Відкрито")</f>
        <v>4</v>
      </c>
      <c r="D12" s="11" t="n">
        <f aca="false">COUNTIFS(Питання!$B$2:$B$200,A12,Питання!$L$2:$L$200,"Відповідь отримано")</f>
        <v>0</v>
      </c>
      <c r="E12" s="11" t="n">
        <f aca="false">COUNTIFS(Питання!$B$2:$B$200,A12,Питання!$L$2:$L$200,"Потрібен скрипт BAZIS")</f>
        <v>0</v>
      </c>
      <c r="F12" s="11" t="n">
        <f aca="false">COUNTIFS(Питання!$B$2:$B$200,A12,Питання!$L$2:$L$200,"Внесено в Elvin")</f>
        <v>2</v>
      </c>
      <c r="G12" s="11" t="n">
        <f aca="false">COUNTIFS(Питання!$B$2:$B$200,A12,Питання!$L$2:$L$200,"Відкрито",Питання!$C$2:$C$200,"Високий")</f>
        <v>0</v>
      </c>
    </row>
    <row r="13" customFormat="false" ht="15" hidden="false" customHeight="true" outlineLevel="0" collapsed="false">
      <c r="A13" s="12" t="s">
        <v>35</v>
      </c>
      <c r="B13" s="13" t="n">
        <f aca="false">SUM(B4:B12)</f>
        <v>59</v>
      </c>
      <c r="C13" s="13" t="n">
        <f aca="false">SUM(C4:C12)</f>
        <v>44</v>
      </c>
      <c r="D13" s="13" t="n">
        <f aca="false">SUM(D4:D12)</f>
        <v>0</v>
      </c>
      <c r="E13" s="13" t="n">
        <f aca="false">SUM(E4:E12)</f>
        <v>0</v>
      </c>
      <c r="F13" s="13" t="n">
        <f aca="false">SUM(F4:F12)</f>
        <v>15</v>
      </c>
      <c r="G13" s="13" t="n">
        <f aca="false">SUM(G4:G12)</f>
        <v>9</v>
      </c>
    </row>
    <row r="15" customFormat="false" ht="15" hidden="false" customHeight="true" outlineLevel="0" collapsed="false">
      <c r="A15" s="14" t="s">
        <v>36</v>
      </c>
      <c r="F15" s="15" t="n">
        <f aca="false">IF(B13=0,0,F13/B13)</f>
        <v>0.254237288135593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5"/>
    <col collapsed="false" customWidth="true" hidden="false" outlineLevel="0" max="3" min="3" style="1" width="11"/>
    <col collapsed="false" customWidth="true" hidden="false" outlineLevel="0" max="4" min="4" style="1" width="55"/>
    <col collapsed="false" customWidth="true" hidden="false" outlineLevel="0" max="5" min="5" style="1" width="32"/>
    <col collapsed="false" customWidth="true" hidden="false" outlineLevel="0" max="6" min="6" style="1" width="38"/>
    <col collapsed="false" customWidth="true" hidden="false" outlineLevel="0" max="7" min="7" style="1" width="22"/>
    <col collapsed="false" customWidth="true" hidden="false" outlineLevel="0" max="8" min="8" style="1" width="40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8"/>
    <col collapsed="false" customWidth="true" hidden="false" outlineLevel="0" max="13" min="13" style="1" width="28"/>
  </cols>
  <sheetData>
    <row r="1" customFormat="false" ht="31.5" hidden="false" customHeight="true" outlineLevel="0" collapsed="false">
      <c r="A1" s="9" t="s">
        <v>37</v>
      </c>
      <c r="B1" s="9" t="s">
        <v>19</v>
      </c>
      <c r="C1" s="9" t="s">
        <v>10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6</v>
      </c>
      <c r="J1" s="9" t="s">
        <v>43</v>
      </c>
      <c r="K1" s="9" t="s">
        <v>44</v>
      </c>
      <c r="L1" s="9" t="s">
        <v>8</v>
      </c>
      <c r="M1" s="9" t="s">
        <v>45</v>
      </c>
    </row>
    <row r="2" customFormat="false" ht="45.75" hidden="false" customHeight="true" outlineLevel="0" collapsed="false">
      <c r="A2" s="16" t="n">
        <v>1</v>
      </c>
      <c r="B2" s="16" t="s">
        <v>26</v>
      </c>
      <c r="C2" s="16" t="s">
        <v>46</v>
      </c>
      <c r="D2" s="16" t="s">
        <v>47</v>
      </c>
      <c r="E2" s="16" t="s">
        <v>48</v>
      </c>
      <c r="F2" s="16" t="s">
        <v>49</v>
      </c>
      <c r="G2" s="16" t="s">
        <v>50</v>
      </c>
      <c r="H2" s="17"/>
      <c r="I2" s="17"/>
      <c r="J2" s="17"/>
      <c r="K2" s="17"/>
      <c r="L2" s="17" t="s">
        <v>21</v>
      </c>
      <c r="M2" s="17"/>
    </row>
    <row r="3" customFormat="false" ht="23.25" hidden="false" customHeight="true" outlineLevel="0" collapsed="false">
      <c r="A3" s="16" t="n">
        <v>2</v>
      </c>
      <c r="B3" s="16" t="s">
        <v>26</v>
      </c>
      <c r="C3" s="16" t="s">
        <v>51</v>
      </c>
      <c r="D3" s="16" t="s">
        <v>52</v>
      </c>
      <c r="E3" s="16" t="s">
        <v>53</v>
      </c>
      <c r="F3" s="16" t="s">
        <v>54</v>
      </c>
      <c r="G3" s="16"/>
      <c r="H3" s="17"/>
      <c r="I3" s="17"/>
      <c r="J3" s="17"/>
      <c r="K3" s="17"/>
      <c r="L3" s="17" t="s">
        <v>21</v>
      </c>
      <c r="M3" s="17"/>
    </row>
    <row r="4" customFormat="false" ht="23.25" hidden="false" customHeight="true" outlineLevel="0" collapsed="false">
      <c r="A4" s="16" t="n">
        <v>3</v>
      </c>
      <c r="B4" s="16" t="s">
        <v>26</v>
      </c>
      <c r="C4" s="16" t="s">
        <v>46</v>
      </c>
      <c r="D4" s="16" t="s">
        <v>55</v>
      </c>
      <c r="E4" s="16" t="s">
        <v>56</v>
      </c>
      <c r="F4" s="16" t="s">
        <v>57</v>
      </c>
      <c r="G4" s="16"/>
      <c r="H4" s="17"/>
      <c r="I4" s="17"/>
      <c r="J4" s="17"/>
      <c r="K4" s="17"/>
      <c r="L4" s="17" t="s">
        <v>21</v>
      </c>
      <c r="M4" s="17"/>
    </row>
    <row r="5" customFormat="false" ht="23.25" hidden="false" customHeight="true" outlineLevel="0" collapsed="false">
      <c r="A5" s="16" t="n">
        <v>4</v>
      </c>
      <c r="B5" s="16" t="s">
        <v>26</v>
      </c>
      <c r="C5" s="16" t="s">
        <v>58</v>
      </c>
      <c r="D5" s="16" t="s">
        <v>59</v>
      </c>
      <c r="E5" s="16" t="s">
        <v>60</v>
      </c>
      <c r="F5" s="16" t="s">
        <v>61</v>
      </c>
      <c r="G5" s="16"/>
      <c r="H5" s="17" t="s">
        <v>62</v>
      </c>
      <c r="I5" s="17" t="s">
        <v>63</v>
      </c>
      <c r="J5" s="17" t="s">
        <v>64</v>
      </c>
      <c r="K5" s="17" t="s">
        <v>65</v>
      </c>
      <c r="L5" s="17" t="s">
        <v>24</v>
      </c>
      <c r="M5" s="17"/>
    </row>
    <row r="6" customFormat="false" ht="23.25" hidden="false" customHeight="true" outlineLevel="0" collapsed="false">
      <c r="A6" s="16" t="n">
        <v>5</v>
      </c>
      <c r="B6" s="16" t="s">
        <v>26</v>
      </c>
      <c r="C6" s="16" t="s">
        <v>46</v>
      </c>
      <c r="D6" s="16" t="s">
        <v>66</v>
      </c>
      <c r="E6" s="16" t="s">
        <v>67</v>
      </c>
      <c r="F6" s="16" t="s">
        <v>68</v>
      </c>
      <c r="G6" s="16" t="s">
        <v>69</v>
      </c>
      <c r="H6" s="17"/>
      <c r="I6" s="17"/>
      <c r="J6" s="17"/>
      <c r="K6" s="17"/>
      <c r="L6" s="17" t="s">
        <v>21</v>
      </c>
      <c r="M6" s="17"/>
    </row>
    <row r="7" customFormat="false" ht="34.5" hidden="false" customHeight="true" outlineLevel="0" collapsed="false">
      <c r="A7" s="16" t="n">
        <v>6</v>
      </c>
      <c r="B7" s="16" t="s">
        <v>26</v>
      </c>
      <c r="C7" s="16" t="s">
        <v>46</v>
      </c>
      <c r="D7" s="16" t="s">
        <v>70</v>
      </c>
      <c r="E7" s="16" t="s">
        <v>71</v>
      </c>
      <c r="F7" s="16" t="s">
        <v>72</v>
      </c>
      <c r="G7" s="16"/>
      <c r="H7" s="17"/>
      <c r="I7" s="17"/>
      <c r="J7" s="17"/>
      <c r="K7" s="17"/>
      <c r="L7" s="17" t="s">
        <v>21</v>
      </c>
      <c r="M7" s="17"/>
    </row>
    <row r="8" customFormat="false" ht="45.75" hidden="false" customHeight="true" outlineLevel="0" collapsed="false">
      <c r="A8" s="16" t="n">
        <v>7</v>
      </c>
      <c r="B8" s="16" t="s">
        <v>27</v>
      </c>
      <c r="C8" s="16" t="s">
        <v>46</v>
      </c>
      <c r="D8" s="16" t="s">
        <v>73</v>
      </c>
      <c r="E8" s="16" t="s">
        <v>74</v>
      </c>
      <c r="F8" s="16" t="s">
        <v>75</v>
      </c>
      <c r="G8" s="16" t="s">
        <v>76</v>
      </c>
      <c r="H8" s="17"/>
      <c r="I8" s="17"/>
      <c r="J8" s="17"/>
      <c r="K8" s="17"/>
      <c r="L8" s="17" t="s">
        <v>21</v>
      </c>
      <c r="M8" s="17"/>
    </row>
    <row r="9" customFormat="false" ht="23.25" hidden="false" customHeight="true" outlineLevel="0" collapsed="false">
      <c r="A9" s="16" t="n">
        <v>8</v>
      </c>
      <c r="B9" s="16" t="s">
        <v>27</v>
      </c>
      <c r="C9" s="16" t="s">
        <v>51</v>
      </c>
      <c r="D9" s="16" t="s">
        <v>77</v>
      </c>
      <c r="E9" s="16" t="s">
        <v>78</v>
      </c>
      <c r="F9" s="16" t="s">
        <v>79</v>
      </c>
      <c r="G9" s="16"/>
      <c r="H9" s="17" t="s">
        <v>80</v>
      </c>
      <c r="I9" s="17" t="s">
        <v>81</v>
      </c>
      <c r="J9" s="17" t="s">
        <v>64</v>
      </c>
      <c r="K9" s="17" t="s">
        <v>82</v>
      </c>
      <c r="L9" s="17" t="s">
        <v>24</v>
      </c>
      <c r="M9" s="17"/>
    </row>
    <row r="10" customFormat="false" ht="34.5" hidden="false" customHeight="true" outlineLevel="0" collapsed="false">
      <c r="A10" s="16" t="n">
        <v>9</v>
      </c>
      <c r="B10" s="16" t="s">
        <v>27</v>
      </c>
      <c r="C10" s="16" t="s">
        <v>51</v>
      </c>
      <c r="D10" s="16" t="s">
        <v>83</v>
      </c>
      <c r="E10" s="16" t="s">
        <v>84</v>
      </c>
      <c r="F10" s="16" t="s">
        <v>68</v>
      </c>
      <c r="G10" s="16" t="s">
        <v>85</v>
      </c>
      <c r="H10" s="17"/>
      <c r="I10" s="17"/>
      <c r="J10" s="17"/>
      <c r="K10" s="17"/>
      <c r="L10" s="17" t="s">
        <v>21</v>
      </c>
      <c r="M10" s="17"/>
    </row>
    <row r="11" customFormat="false" ht="15" hidden="false" customHeight="true" outlineLevel="0" collapsed="false">
      <c r="A11" s="16" t="n">
        <v>10</v>
      </c>
      <c r="B11" s="16" t="s">
        <v>27</v>
      </c>
      <c r="C11" s="16" t="s">
        <v>51</v>
      </c>
      <c r="D11" s="16" t="s">
        <v>86</v>
      </c>
      <c r="E11" s="16" t="s">
        <v>87</v>
      </c>
      <c r="F11" s="16" t="s">
        <v>68</v>
      </c>
      <c r="G11" s="16"/>
      <c r="H11" s="17"/>
      <c r="I11" s="17"/>
      <c r="J11" s="17"/>
      <c r="K11" s="17"/>
      <c r="L11" s="17" t="s">
        <v>21</v>
      </c>
      <c r="M11" s="17"/>
    </row>
    <row r="12" customFormat="false" ht="23.25" hidden="false" customHeight="true" outlineLevel="0" collapsed="false">
      <c r="A12" s="16" t="n">
        <v>11</v>
      </c>
      <c r="B12" s="16" t="s">
        <v>27</v>
      </c>
      <c r="C12" s="16" t="s">
        <v>58</v>
      </c>
      <c r="D12" s="16" t="s">
        <v>88</v>
      </c>
      <c r="E12" s="16" t="s">
        <v>89</v>
      </c>
      <c r="F12" s="16" t="s">
        <v>68</v>
      </c>
      <c r="G12" s="16"/>
      <c r="H12" s="17"/>
      <c r="I12" s="17"/>
      <c r="J12" s="17"/>
      <c r="K12" s="17"/>
      <c r="L12" s="17" t="s">
        <v>21</v>
      </c>
      <c r="M12" s="17"/>
    </row>
    <row r="13" customFormat="false" ht="23.25" hidden="false" customHeight="true" outlineLevel="0" collapsed="false">
      <c r="A13" s="16" t="n">
        <v>12</v>
      </c>
      <c r="B13" s="16" t="s">
        <v>28</v>
      </c>
      <c r="C13" s="16" t="s">
        <v>51</v>
      </c>
      <c r="D13" s="16" t="s">
        <v>90</v>
      </c>
      <c r="E13" s="16" t="s">
        <v>91</v>
      </c>
      <c r="F13" s="16" t="s">
        <v>92</v>
      </c>
      <c r="G13" s="16"/>
      <c r="H13" s="17"/>
      <c r="I13" s="17"/>
      <c r="J13" s="17"/>
      <c r="K13" s="17"/>
      <c r="L13" s="17" t="s">
        <v>21</v>
      </c>
      <c r="M13" s="17"/>
    </row>
    <row r="14" customFormat="false" ht="23.25" hidden="false" customHeight="true" outlineLevel="0" collapsed="false">
      <c r="A14" s="16" t="n">
        <v>13</v>
      </c>
      <c r="B14" s="16" t="s">
        <v>28</v>
      </c>
      <c r="C14" s="16" t="s">
        <v>51</v>
      </c>
      <c r="D14" s="16" t="s">
        <v>93</v>
      </c>
      <c r="E14" s="16" t="s">
        <v>94</v>
      </c>
      <c r="F14" s="16" t="s">
        <v>95</v>
      </c>
      <c r="G14" s="16"/>
      <c r="H14" s="17"/>
      <c r="I14" s="17"/>
      <c r="J14" s="17"/>
      <c r="K14" s="17"/>
      <c r="L14" s="17" t="s">
        <v>21</v>
      </c>
      <c r="M14" s="17"/>
    </row>
    <row r="15" customFormat="false" ht="15" hidden="false" customHeight="true" outlineLevel="0" collapsed="false">
      <c r="A15" s="16" t="n">
        <v>14</v>
      </c>
      <c r="B15" s="16" t="s">
        <v>28</v>
      </c>
      <c r="C15" s="16" t="s">
        <v>58</v>
      </c>
      <c r="D15" s="16" t="s">
        <v>96</v>
      </c>
      <c r="E15" s="16" t="s">
        <v>97</v>
      </c>
      <c r="F15" s="16" t="s">
        <v>68</v>
      </c>
      <c r="G15" s="16"/>
      <c r="H15" s="17"/>
      <c r="I15" s="17"/>
      <c r="J15" s="17"/>
      <c r="K15" s="17"/>
      <c r="L15" s="17" t="s">
        <v>21</v>
      </c>
      <c r="M15" s="17"/>
    </row>
    <row r="16" customFormat="false" ht="23.25" hidden="false" customHeight="true" outlineLevel="0" collapsed="false">
      <c r="A16" s="16" t="n">
        <v>15</v>
      </c>
      <c r="B16" s="16" t="s">
        <v>29</v>
      </c>
      <c r="C16" s="16" t="s">
        <v>46</v>
      </c>
      <c r="D16" s="16" t="s">
        <v>98</v>
      </c>
      <c r="E16" s="16" t="s">
        <v>99</v>
      </c>
      <c r="F16" s="16" t="s">
        <v>100</v>
      </c>
      <c r="G16" s="16"/>
      <c r="H16" s="17"/>
      <c r="I16" s="17" t="s">
        <v>101</v>
      </c>
      <c r="J16" s="17"/>
      <c r="K16" s="17"/>
      <c r="L16" s="17" t="s">
        <v>21</v>
      </c>
      <c r="M16" s="18" t="s">
        <v>102</v>
      </c>
    </row>
    <row r="17" customFormat="false" ht="23.25" hidden="false" customHeight="true" outlineLevel="0" collapsed="false">
      <c r="A17" s="16" t="n">
        <v>16</v>
      </c>
      <c r="B17" s="16" t="s">
        <v>29</v>
      </c>
      <c r="C17" s="16" t="s">
        <v>46</v>
      </c>
      <c r="D17" s="16" t="s">
        <v>103</v>
      </c>
      <c r="E17" s="16" t="s">
        <v>104</v>
      </c>
      <c r="F17" s="16" t="s">
        <v>68</v>
      </c>
      <c r="G17" s="16"/>
      <c r="H17" s="17"/>
      <c r="I17" s="17"/>
      <c r="J17" s="17"/>
      <c r="K17" s="17"/>
      <c r="L17" s="17" t="s">
        <v>21</v>
      </c>
      <c r="M17" s="17"/>
    </row>
    <row r="18" customFormat="false" ht="23.25" hidden="false" customHeight="true" outlineLevel="0" collapsed="false">
      <c r="A18" s="16" t="n">
        <v>17</v>
      </c>
      <c r="B18" s="16" t="s">
        <v>29</v>
      </c>
      <c r="C18" s="16" t="s">
        <v>51</v>
      </c>
      <c r="D18" s="16" t="s">
        <v>105</v>
      </c>
      <c r="E18" s="16" t="s">
        <v>106</v>
      </c>
      <c r="F18" s="16" t="s">
        <v>107</v>
      </c>
      <c r="G18" s="16" t="s">
        <v>108</v>
      </c>
      <c r="H18" s="17"/>
      <c r="I18" s="17"/>
      <c r="J18" s="17"/>
      <c r="K18" s="17"/>
      <c r="L18" s="17" t="s">
        <v>21</v>
      </c>
      <c r="M18" s="17"/>
    </row>
    <row r="19" customFormat="false" ht="23.25" hidden="false" customHeight="true" outlineLevel="0" collapsed="false">
      <c r="A19" s="16" t="n">
        <v>18</v>
      </c>
      <c r="B19" s="16" t="s">
        <v>29</v>
      </c>
      <c r="C19" s="16" t="s">
        <v>51</v>
      </c>
      <c r="D19" s="16" t="s">
        <v>109</v>
      </c>
      <c r="E19" s="16" t="s">
        <v>110</v>
      </c>
      <c r="F19" s="16" t="s">
        <v>111</v>
      </c>
      <c r="G19" s="16"/>
      <c r="H19" s="17"/>
      <c r="I19" s="17"/>
      <c r="J19" s="17"/>
      <c r="K19" s="17"/>
      <c r="L19" s="17" t="s">
        <v>21</v>
      </c>
      <c r="M19" s="17"/>
    </row>
    <row r="20" customFormat="false" ht="23.25" hidden="false" customHeight="true" outlineLevel="0" collapsed="false">
      <c r="A20" s="16" t="n">
        <v>19</v>
      </c>
      <c r="B20" s="16" t="s">
        <v>29</v>
      </c>
      <c r="C20" s="16" t="s">
        <v>51</v>
      </c>
      <c r="D20" s="16" t="s">
        <v>112</v>
      </c>
      <c r="E20" s="16" t="s">
        <v>113</v>
      </c>
      <c r="F20" s="16" t="s">
        <v>114</v>
      </c>
      <c r="G20" s="16"/>
      <c r="H20" s="17"/>
      <c r="I20" s="17"/>
      <c r="J20" s="17"/>
      <c r="K20" s="17"/>
      <c r="L20" s="17" t="s">
        <v>21</v>
      </c>
      <c r="M20" s="17"/>
    </row>
    <row r="21" customFormat="false" ht="15" hidden="false" customHeight="true" outlineLevel="0" collapsed="false">
      <c r="A21" s="16" t="n">
        <v>20</v>
      </c>
      <c r="B21" s="16" t="s">
        <v>29</v>
      </c>
      <c r="C21" s="16" t="s">
        <v>51</v>
      </c>
      <c r="D21" s="16" t="s">
        <v>115</v>
      </c>
      <c r="E21" s="16" t="s">
        <v>116</v>
      </c>
      <c r="F21" s="16" t="s">
        <v>117</v>
      </c>
      <c r="G21" s="16" t="s">
        <v>118</v>
      </c>
      <c r="H21" s="17" t="s">
        <v>119</v>
      </c>
      <c r="I21" s="17"/>
      <c r="J21" s="17" t="s">
        <v>64</v>
      </c>
      <c r="K21" s="17" t="s">
        <v>65</v>
      </c>
      <c r="L21" s="17" t="s">
        <v>24</v>
      </c>
      <c r="M21" s="17" t="s">
        <v>120</v>
      </c>
    </row>
    <row r="22" customFormat="false" ht="15" hidden="false" customHeight="true" outlineLevel="0" collapsed="false">
      <c r="A22" s="16" t="n">
        <v>21</v>
      </c>
      <c r="B22" s="16" t="s">
        <v>29</v>
      </c>
      <c r="C22" s="16" t="s">
        <v>51</v>
      </c>
      <c r="D22" s="16" t="s">
        <v>121</v>
      </c>
      <c r="E22" s="16" t="s">
        <v>122</v>
      </c>
      <c r="F22" s="16" t="s">
        <v>123</v>
      </c>
      <c r="G22" s="16"/>
      <c r="H22" s="17" t="s">
        <v>124</v>
      </c>
      <c r="I22" s="17" t="s">
        <v>125</v>
      </c>
      <c r="J22" s="17" t="s">
        <v>64</v>
      </c>
      <c r="K22" s="17" t="s">
        <v>65</v>
      </c>
      <c r="L22" s="17" t="s">
        <v>24</v>
      </c>
      <c r="M22" s="17"/>
    </row>
    <row r="23" customFormat="false" ht="15" hidden="false" customHeight="true" outlineLevel="0" collapsed="false">
      <c r="A23" s="16" t="n">
        <v>22</v>
      </c>
      <c r="B23" s="16" t="s">
        <v>29</v>
      </c>
      <c r="C23" s="16" t="s">
        <v>51</v>
      </c>
      <c r="D23" s="16" t="s">
        <v>126</v>
      </c>
      <c r="E23" s="16" t="s">
        <v>127</v>
      </c>
      <c r="F23" s="16" t="s">
        <v>68</v>
      </c>
      <c r="G23" s="16"/>
      <c r="H23" s="17"/>
      <c r="I23" s="17"/>
      <c r="J23" s="17"/>
      <c r="K23" s="17"/>
      <c r="L23" s="17" t="s">
        <v>21</v>
      </c>
      <c r="M23" s="17"/>
    </row>
    <row r="24" customFormat="false" ht="23.25" hidden="false" customHeight="true" outlineLevel="0" collapsed="false">
      <c r="A24" s="16" t="n">
        <v>23</v>
      </c>
      <c r="B24" s="16" t="s">
        <v>29</v>
      </c>
      <c r="C24" s="16" t="s">
        <v>46</v>
      </c>
      <c r="D24" s="16" t="s">
        <v>128</v>
      </c>
      <c r="E24" s="16" t="s">
        <v>129</v>
      </c>
      <c r="F24" s="16" t="s">
        <v>130</v>
      </c>
      <c r="G24" s="16"/>
      <c r="H24" s="17"/>
      <c r="I24" s="17"/>
      <c r="J24" s="17"/>
      <c r="K24" s="17"/>
      <c r="L24" s="17" t="s">
        <v>21</v>
      </c>
      <c r="M24" s="17"/>
    </row>
    <row r="25" customFormat="false" ht="23.25" hidden="false" customHeight="true" outlineLevel="0" collapsed="false">
      <c r="A25" s="16" t="n">
        <v>24</v>
      </c>
      <c r="B25" s="16" t="s">
        <v>29</v>
      </c>
      <c r="C25" s="16" t="s">
        <v>51</v>
      </c>
      <c r="D25" s="16" t="s">
        <v>131</v>
      </c>
      <c r="E25" s="16" t="s">
        <v>132</v>
      </c>
      <c r="F25" s="16" t="s">
        <v>133</v>
      </c>
      <c r="G25" s="16"/>
      <c r="H25" s="17"/>
      <c r="I25" s="17" t="s">
        <v>134</v>
      </c>
      <c r="J25" s="17"/>
      <c r="K25" s="17"/>
      <c r="L25" s="17" t="s">
        <v>21</v>
      </c>
      <c r="M25" s="18" t="s">
        <v>135</v>
      </c>
    </row>
    <row r="26" customFormat="false" ht="23.25" hidden="false" customHeight="true" outlineLevel="0" collapsed="false">
      <c r="A26" s="16" t="n">
        <v>25</v>
      </c>
      <c r="B26" s="16" t="s">
        <v>29</v>
      </c>
      <c r="C26" s="16" t="s">
        <v>51</v>
      </c>
      <c r="D26" s="16" t="s">
        <v>136</v>
      </c>
      <c r="E26" s="16" t="s">
        <v>132</v>
      </c>
      <c r="F26" s="16" t="s">
        <v>133</v>
      </c>
      <c r="G26" s="16"/>
      <c r="H26" s="17"/>
      <c r="I26" s="17"/>
      <c r="J26" s="17"/>
      <c r="K26" s="17"/>
      <c r="L26" s="17" t="s">
        <v>21</v>
      </c>
      <c r="M26" s="17"/>
    </row>
    <row r="27" customFormat="false" ht="15" hidden="false" customHeight="true" outlineLevel="0" collapsed="false">
      <c r="A27" s="16" t="n">
        <v>26</v>
      </c>
      <c r="B27" s="16" t="s">
        <v>29</v>
      </c>
      <c r="C27" s="16" t="s">
        <v>51</v>
      </c>
      <c r="D27" s="16" t="s">
        <v>137</v>
      </c>
      <c r="E27" s="16" t="s">
        <v>99</v>
      </c>
      <c r="F27" s="16" t="s">
        <v>133</v>
      </c>
      <c r="G27" s="16"/>
      <c r="H27" s="17"/>
      <c r="I27" s="17"/>
      <c r="J27" s="17"/>
      <c r="K27" s="17"/>
      <c r="L27" s="17" t="s">
        <v>21</v>
      </c>
      <c r="M27" s="17"/>
    </row>
    <row r="28" customFormat="false" ht="15" hidden="false" customHeight="true" outlineLevel="0" collapsed="false">
      <c r="A28" s="16" t="n">
        <v>27</v>
      </c>
      <c r="B28" s="16" t="s">
        <v>29</v>
      </c>
      <c r="C28" s="16" t="s">
        <v>46</v>
      </c>
      <c r="D28" s="16" t="s">
        <v>138</v>
      </c>
      <c r="E28" s="16" t="s">
        <v>139</v>
      </c>
      <c r="F28" s="16" t="s">
        <v>133</v>
      </c>
      <c r="G28" s="16"/>
      <c r="H28" s="17"/>
      <c r="I28" s="17"/>
      <c r="J28" s="17"/>
      <c r="K28" s="17"/>
      <c r="L28" s="17" t="s">
        <v>21</v>
      </c>
      <c r="M28" s="17"/>
    </row>
    <row r="29" customFormat="false" ht="15" hidden="false" customHeight="true" outlineLevel="0" collapsed="false">
      <c r="A29" s="16" t="n">
        <v>28</v>
      </c>
      <c r="B29" s="16" t="s">
        <v>29</v>
      </c>
      <c r="C29" s="16" t="s">
        <v>58</v>
      </c>
      <c r="D29" s="16" t="s">
        <v>140</v>
      </c>
      <c r="E29" s="16" t="s">
        <v>141</v>
      </c>
      <c r="F29" s="16" t="s">
        <v>142</v>
      </c>
      <c r="G29" s="16"/>
      <c r="H29" s="17"/>
      <c r="I29" s="17"/>
      <c r="J29" s="17"/>
      <c r="K29" s="17"/>
      <c r="L29" s="17" t="s">
        <v>21</v>
      </c>
      <c r="M29" s="17"/>
    </row>
    <row r="30" customFormat="false" ht="23.25" hidden="false" customHeight="true" outlineLevel="0" collapsed="false">
      <c r="A30" s="16" t="n">
        <v>29</v>
      </c>
      <c r="B30" s="16" t="s">
        <v>29</v>
      </c>
      <c r="C30" s="16" t="s">
        <v>51</v>
      </c>
      <c r="D30" s="16" t="s">
        <v>143</v>
      </c>
      <c r="E30" s="16" t="s">
        <v>144</v>
      </c>
      <c r="F30" s="16" t="s">
        <v>145</v>
      </c>
      <c r="G30" s="16" t="s">
        <v>146</v>
      </c>
      <c r="H30" s="17"/>
      <c r="I30" s="17"/>
      <c r="J30" s="17"/>
      <c r="K30" s="17"/>
      <c r="L30" s="17" t="s">
        <v>21</v>
      </c>
      <c r="M30" s="17"/>
    </row>
    <row r="31" customFormat="false" ht="23.25" hidden="false" customHeight="true" outlineLevel="0" collapsed="false">
      <c r="A31" s="16" t="n">
        <v>30</v>
      </c>
      <c r="B31" s="16" t="s">
        <v>30</v>
      </c>
      <c r="C31" s="16" t="s">
        <v>51</v>
      </c>
      <c r="D31" s="16" t="s">
        <v>147</v>
      </c>
      <c r="E31" s="16" t="s">
        <v>148</v>
      </c>
      <c r="F31" s="16" t="s">
        <v>149</v>
      </c>
      <c r="G31" s="16"/>
      <c r="H31" s="17"/>
      <c r="I31" s="17"/>
      <c r="J31" s="17"/>
      <c r="K31" s="17"/>
      <c r="L31" s="17" t="s">
        <v>21</v>
      </c>
      <c r="M31" s="17"/>
    </row>
    <row r="32" customFormat="false" ht="23.25" hidden="false" customHeight="true" outlineLevel="0" collapsed="false">
      <c r="A32" s="16" t="n">
        <v>31</v>
      </c>
      <c r="B32" s="16" t="s">
        <v>30</v>
      </c>
      <c r="C32" s="16" t="s">
        <v>51</v>
      </c>
      <c r="D32" s="16" t="s">
        <v>150</v>
      </c>
      <c r="E32" s="16" t="s">
        <v>151</v>
      </c>
      <c r="F32" s="16" t="s">
        <v>152</v>
      </c>
      <c r="G32" s="16"/>
      <c r="H32" s="17"/>
      <c r="I32" s="17"/>
      <c r="J32" s="17"/>
      <c r="K32" s="17"/>
      <c r="L32" s="17" t="s">
        <v>21</v>
      </c>
      <c r="M32" s="17"/>
    </row>
    <row r="33" customFormat="false" ht="23.25" hidden="false" customHeight="true" outlineLevel="0" collapsed="false">
      <c r="A33" s="16" t="n">
        <v>32</v>
      </c>
      <c r="B33" s="16" t="s">
        <v>30</v>
      </c>
      <c r="C33" s="16" t="s">
        <v>58</v>
      </c>
      <c r="D33" s="16" t="s">
        <v>153</v>
      </c>
      <c r="E33" s="16" t="s">
        <v>94</v>
      </c>
      <c r="F33" s="16" t="s">
        <v>68</v>
      </c>
      <c r="G33" s="16"/>
      <c r="H33" s="17"/>
      <c r="I33" s="17"/>
      <c r="J33" s="17"/>
      <c r="K33" s="17"/>
      <c r="L33" s="17" t="s">
        <v>21</v>
      </c>
      <c r="M33" s="17"/>
    </row>
    <row r="34" customFormat="false" ht="23.25" hidden="false" customHeight="true" outlineLevel="0" collapsed="false">
      <c r="A34" s="16" t="n">
        <v>33</v>
      </c>
      <c r="B34" s="16" t="s">
        <v>30</v>
      </c>
      <c r="C34" s="16" t="s">
        <v>51</v>
      </c>
      <c r="D34" s="16" t="s">
        <v>154</v>
      </c>
      <c r="E34" s="16" t="s">
        <v>155</v>
      </c>
      <c r="F34" s="16" t="s">
        <v>156</v>
      </c>
      <c r="G34" s="16"/>
      <c r="H34" s="17"/>
      <c r="I34" s="17"/>
      <c r="J34" s="17"/>
      <c r="K34" s="17"/>
      <c r="L34" s="17" t="s">
        <v>21</v>
      </c>
      <c r="M34" s="17"/>
    </row>
    <row r="35" customFormat="false" ht="15" hidden="false" customHeight="true" outlineLevel="0" collapsed="false">
      <c r="A35" s="16" t="n">
        <v>34</v>
      </c>
      <c r="B35" s="16" t="s">
        <v>30</v>
      </c>
      <c r="C35" s="16" t="s">
        <v>58</v>
      </c>
      <c r="D35" s="16" t="s">
        <v>157</v>
      </c>
      <c r="E35" s="16" t="s">
        <v>158</v>
      </c>
      <c r="F35" s="16" t="s">
        <v>68</v>
      </c>
      <c r="G35" s="16"/>
      <c r="H35" s="17"/>
      <c r="I35" s="17"/>
      <c r="J35" s="17"/>
      <c r="K35" s="17"/>
      <c r="L35" s="17" t="s">
        <v>21</v>
      </c>
      <c r="M35" s="17"/>
    </row>
    <row r="36" customFormat="false" ht="23.25" hidden="false" customHeight="true" outlineLevel="0" collapsed="false">
      <c r="A36" s="16" t="n">
        <v>35</v>
      </c>
      <c r="B36" s="16" t="s">
        <v>31</v>
      </c>
      <c r="C36" s="16" t="s">
        <v>51</v>
      </c>
      <c r="D36" s="16" t="s">
        <v>159</v>
      </c>
      <c r="E36" s="16" t="s">
        <v>160</v>
      </c>
      <c r="F36" s="16" t="s">
        <v>161</v>
      </c>
      <c r="G36" s="16"/>
      <c r="H36" s="17"/>
      <c r="I36" s="17"/>
      <c r="J36" s="17"/>
      <c r="K36" s="17"/>
      <c r="L36" s="17" t="s">
        <v>21</v>
      </c>
      <c r="M36" s="17"/>
    </row>
    <row r="37" customFormat="false" ht="23.25" hidden="false" customHeight="true" outlineLevel="0" collapsed="false">
      <c r="A37" s="16" t="n">
        <v>36</v>
      </c>
      <c r="B37" s="16" t="s">
        <v>31</v>
      </c>
      <c r="C37" s="16" t="s">
        <v>51</v>
      </c>
      <c r="D37" s="16" t="s">
        <v>162</v>
      </c>
      <c r="E37" s="16" t="s">
        <v>163</v>
      </c>
      <c r="F37" s="16" t="s">
        <v>164</v>
      </c>
      <c r="G37" s="16" t="s">
        <v>165</v>
      </c>
      <c r="H37" s="17"/>
      <c r="I37" s="17"/>
      <c r="J37" s="17"/>
      <c r="K37" s="17"/>
      <c r="L37" s="17" t="s">
        <v>21</v>
      </c>
      <c r="M37" s="17"/>
    </row>
    <row r="38" customFormat="false" ht="23.25" hidden="false" customHeight="true" outlineLevel="0" collapsed="false">
      <c r="A38" s="16" t="n">
        <v>37</v>
      </c>
      <c r="B38" s="16" t="s">
        <v>31</v>
      </c>
      <c r="C38" s="16" t="s">
        <v>51</v>
      </c>
      <c r="D38" s="16" t="s">
        <v>166</v>
      </c>
      <c r="E38" s="16" t="s">
        <v>167</v>
      </c>
      <c r="F38" s="16" t="s">
        <v>164</v>
      </c>
      <c r="G38" s="16" t="s">
        <v>165</v>
      </c>
      <c r="H38" s="17"/>
      <c r="I38" s="17"/>
      <c r="J38" s="17"/>
      <c r="K38" s="17"/>
      <c r="L38" s="17" t="s">
        <v>21</v>
      </c>
      <c r="M38" s="17"/>
    </row>
    <row r="39" customFormat="false" ht="23.25" hidden="false" customHeight="true" outlineLevel="0" collapsed="false">
      <c r="A39" s="16" t="n">
        <v>38</v>
      </c>
      <c r="B39" s="16" t="s">
        <v>31</v>
      </c>
      <c r="C39" s="16" t="s">
        <v>51</v>
      </c>
      <c r="D39" s="16" t="s">
        <v>168</v>
      </c>
      <c r="E39" s="16" t="s">
        <v>169</v>
      </c>
      <c r="F39" s="16" t="s">
        <v>170</v>
      </c>
      <c r="G39" s="16" t="s">
        <v>165</v>
      </c>
      <c r="H39" s="17"/>
      <c r="I39" s="17"/>
      <c r="J39" s="17"/>
      <c r="K39" s="17"/>
      <c r="L39" s="17" t="s">
        <v>21</v>
      </c>
      <c r="M39" s="17"/>
    </row>
    <row r="40" customFormat="false" ht="15" hidden="false" customHeight="true" outlineLevel="0" collapsed="false">
      <c r="A40" s="16" t="n">
        <v>39</v>
      </c>
      <c r="B40" s="16" t="s">
        <v>31</v>
      </c>
      <c r="C40" s="16" t="s">
        <v>58</v>
      </c>
      <c r="D40" s="16" t="s">
        <v>171</v>
      </c>
      <c r="E40" s="16" t="s">
        <v>172</v>
      </c>
      <c r="F40" s="16" t="s">
        <v>173</v>
      </c>
      <c r="G40" s="16"/>
      <c r="H40" s="17"/>
      <c r="I40" s="17"/>
      <c r="J40" s="17"/>
      <c r="K40" s="17"/>
      <c r="L40" s="17" t="s">
        <v>21</v>
      </c>
      <c r="M40" s="17"/>
    </row>
    <row r="41" customFormat="false" ht="15" hidden="false" customHeight="true" outlineLevel="0" collapsed="false">
      <c r="A41" s="16" t="n">
        <v>40</v>
      </c>
      <c r="B41" s="16" t="s">
        <v>32</v>
      </c>
      <c r="C41" s="16" t="s">
        <v>51</v>
      </c>
      <c r="D41" s="16" t="s">
        <v>174</v>
      </c>
      <c r="E41" s="16" t="s">
        <v>175</v>
      </c>
      <c r="F41" s="16" t="s">
        <v>176</v>
      </c>
      <c r="G41" s="16"/>
      <c r="H41" s="17"/>
      <c r="I41" s="17" t="s">
        <v>177</v>
      </c>
      <c r="J41" s="17"/>
      <c r="K41" s="17"/>
      <c r="L41" s="17" t="s">
        <v>21</v>
      </c>
      <c r="M41" s="18" t="s">
        <v>178</v>
      </c>
    </row>
    <row r="42" customFormat="false" ht="23.25" hidden="false" customHeight="true" outlineLevel="0" collapsed="false">
      <c r="A42" s="16" t="n">
        <v>41</v>
      </c>
      <c r="B42" s="16" t="s">
        <v>32</v>
      </c>
      <c r="C42" s="16" t="s">
        <v>58</v>
      </c>
      <c r="D42" s="16" t="s">
        <v>179</v>
      </c>
      <c r="E42" s="16" t="s">
        <v>180</v>
      </c>
      <c r="F42" s="16" t="s">
        <v>181</v>
      </c>
      <c r="G42" s="16"/>
      <c r="H42" s="17" t="s">
        <v>182</v>
      </c>
      <c r="I42" s="17" t="s">
        <v>183</v>
      </c>
      <c r="J42" s="17" t="s">
        <v>64</v>
      </c>
      <c r="K42" s="17" t="s">
        <v>65</v>
      </c>
      <c r="L42" s="17" t="s">
        <v>24</v>
      </c>
      <c r="M42" s="17"/>
    </row>
    <row r="43" customFormat="false" ht="23.25" hidden="false" customHeight="true" outlineLevel="0" collapsed="false">
      <c r="A43" s="16" t="n">
        <v>42</v>
      </c>
      <c r="B43" s="16" t="s">
        <v>32</v>
      </c>
      <c r="C43" s="16" t="s">
        <v>58</v>
      </c>
      <c r="D43" s="16" t="s">
        <v>184</v>
      </c>
      <c r="E43" s="16" t="s">
        <v>185</v>
      </c>
      <c r="F43" s="16" t="s">
        <v>68</v>
      </c>
      <c r="G43" s="16"/>
      <c r="H43" s="17"/>
      <c r="I43" s="17"/>
      <c r="J43" s="17"/>
      <c r="K43" s="17"/>
      <c r="L43" s="17" t="s">
        <v>21</v>
      </c>
      <c r="M43" s="17"/>
    </row>
    <row r="44" customFormat="false" ht="34.5" hidden="false" customHeight="true" outlineLevel="0" collapsed="false">
      <c r="A44" s="16" t="n">
        <v>43</v>
      </c>
      <c r="B44" s="16" t="s">
        <v>33</v>
      </c>
      <c r="C44" s="16" t="s">
        <v>51</v>
      </c>
      <c r="D44" s="16" t="s">
        <v>186</v>
      </c>
      <c r="E44" s="16" t="s">
        <v>187</v>
      </c>
      <c r="F44" s="16" t="s">
        <v>188</v>
      </c>
      <c r="G44" s="16" t="s">
        <v>165</v>
      </c>
      <c r="H44" s="17"/>
      <c r="I44" s="17"/>
      <c r="J44" s="17"/>
      <c r="K44" s="17"/>
      <c r="L44" s="17" t="s">
        <v>21</v>
      </c>
      <c r="M44" s="17"/>
    </row>
    <row r="45" customFormat="false" ht="23.25" hidden="false" customHeight="true" outlineLevel="0" collapsed="false">
      <c r="A45" s="16" t="n">
        <v>44</v>
      </c>
      <c r="B45" s="16" t="s">
        <v>33</v>
      </c>
      <c r="C45" s="16" t="s">
        <v>58</v>
      </c>
      <c r="D45" s="16" t="s">
        <v>189</v>
      </c>
      <c r="E45" s="16" t="s">
        <v>190</v>
      </c>
      <c r="F45" s="16" t="s">
        <v>191</v>
      </c>
      <c r="G45" s="16"/>
      <c r="H45" s="17"/>
      <c r="I45" s="17"/>
      <c r="J45" s="17"/>
      <c r="K45" s="17"/>
      <c r="L45" s="17" t="s">
        <v>21</v>
      </c>
      <c r="M45" s="17"/>
    </row>
    <row r="46" customFormat="false" ht="23.25" hidden="false" customHeight="true" outlineLevel="0" collapsed="false">
      <c r="A46" s="16" t="n">
        <v>45</v>
      </c>
      <c r="B46" s="16" t="s">
        <v>33</v>
      </c>
      <c r="C46" s="16" t="s">
        <v>58</v>
      </c>
      <c r="D46" s="16" t="s">
        <v>192</v>
      </c>
      <c r="E46" s="16" t="s">
        <v>193</v>
      </c>
      <c r="F46" s="16" t="s">
        <v>194</v>
      </c>
      <c r="G46" s="16"/>
      <c r="H46" s="17"/>
      <c r="I46" s="17"/>
      <c r="J46" s="17"/>
      <c r="K46" s="17"/>
      <c r="L46" s="17" t="s">
        <v>21</v>
      </c>
      <c r="M46" s="17"/>
    </row>
    <row r="47" customFormat="false" ht="23.25" hidden="false" customHeight="true" outlineLevel="0" collapsed="false">
      <c r="A47" s="16" t="n">
        <v>46</v>
      </c>
      <c r="B47" s="16" t="s">
        <v>34</v>
      </c>
      <c r="C47" s="16" t="s">
        <v>51</v>
      </c>
      <c r="D47" s="16" t="s">
        <v>195</v>
      </c>
      <c r="E47" s="16" t="s">
        <v>196</v>
      </c>
      <c r="F47" s="16" t="s">
        <v>197</v>
      </c>
      <c r="G47" s="16"/>
      <c r="H47" s="17"/>
      <c r="I47" s="17"/>
      <c r="J47" s="17"/>
      <c r="K47" s="17"/>
      <c r="L47" s="17" t="s">
        <v>21</v>
      </c>
      <c r="M47" s="17"/>
    </row>
    <row r="48" customFormat="false" ht="23.25" hidden="false" customHeight="true" outlineLevel="0" collapsed="false">
      <c r="A48" s="16" t="n">
        <v>47</v>
      </c>
      <c r="B48" s="16" t="s">
        <v>34</v>
      </c>
      <c r="C48" s="16" t="s">
        <v>51</v>
      </c>
      <c r="D48" s="16" t="s">
        <v>198</v>
      </c>
      <c r="E48" s="16" t="s">
        <v>199</v>
      </c>
      <c r="F48" s="16" t="s">
        <v>200</v>
      </c>
      <c r="G48" s="16"/>
      <c r="H48" s="17"/>
      <c r="I48" s="17"/>
      <c r="J48" s="17"/>
      <c r="K48" s="17"/>
      <c r="L48" s="17" t="s">
        <v>21</v>
      </c>
      <c r="M48" s="17"/>
    </row>
    <row r="49" customFormat="false" ht="23.25" hidden="false" customHeight="true" outlineLevel="0" collapsed="false">
      <c r="A49" s="16" t="n">
        <v>48</v>
      </c>
      <c r="B49" s="16" t="s">
        <v>34</v>
      </c>
      <c r="C49" s="16" t="s">
        <v>58</v>
      </c>
      <c r="D49" s="16" t="s">
        <v>201</v>
      </c>
      <c r="E49" s="16" t="s">
        <v>202</v>
      </c>
      <c r="F49" s="16" t="s">
        <v>203</v>
      </c>
      <c r="G49" s="16"/>
      <c r="H49" s="17"/>
      <c r="I49" s="17"/>
      <c r="J49" s="17"/>
      <c r="K49" s="17"/>
      <c r="L49" s="17" t="s">
        <v>21</v>
      </c>
      <c r="M49" s="17"/>
    </row>
    <row r="50" customFormat="false" ht="23.25" hidden="false" customHeight="true" outlineLevel="0" collapsed="false">
      <c r="A50" s="16" t="n">
        <v>49</v>
      </c>
      <c r="B50" s="16" t="s">
        <v>34</v>
      </c>
      <c r="C50" s="16" t="s">
        <v>58</v>
      </c>
      <c r="D50" s="16" t="s">
        <v>204</v>
      </c>
      <c r="E50" s="16" t="s">
        <v>205</v>
      </c>
      <c r="F50" s="16" t="s">
        <v>206</v>
      </c>
      <c r="G50" s="16"/>
      <c r="H50" s="17"/>
      <c r="I50" s="17"/>
      <c r="J50" s="17"/>
      <c r="K50" s="17"/>
      <c r="L50" s="17" t="s">
        <v>21</v>
      </c>
      <c r="M50" s="17"/>
    </row>
    <row r="51" customFormat="false" ht="23.25" hidden="false" customHeight="true" outlineLevel="0" collapsed="false">
      <c r="A51" s="16" t="n">
        <v>50</v>
      </c>
      <c r="B51" s="16" t="s">
        <v>32</v>
      </c>
      <c r="C51" s="16" t="s">
        <v>46</v>
      </c>
      <c r="D51" s="16" t="s">
        <v>207</v>
      </c>
      <c r="E51" s="16" t="s">
        <v>208</v>
      </c>
      <c r="F51" s="16"/>
      <c r="G51" s="16"/>
      <c r="H51" s="17" t="s">
        <v>209</v>
      </c>
      <c r="I51" s="17" t="s">
        <v>210</v>
      </c>
      <c r="J51" s="17" t="s">
        <v>64</v>
      </c>
      <c r="K51" s="17" t="s">
        <v>82</v>
      </c>
      <c r="L51" s="17" t="s">
        <v>24</v>
      </c>
      <c r="M51" s="17" t="s">
        <v>211</v>
      </c>
    </row>
    <row r="52" customFormat="false" ht="23.25" hidden="false" customHeight="true" outlineLevel="0" collapsed="false">
      <c r="A52" s="16" t="n">
        <v>51</v>
      </c>
      <c r="B52" s="16" t="s">
        <v>29</v>
      </c>
      <c r="C52" s="16" t="s">
        <v>46</v>
      </c>
      <c r="D52" s="16" t="s">
        <v>212</v>
      </c>
      <c r="E52" s="16" t="s">
        <v>127</v>
      </c>
      <c r="F52" s="16"/>
      <c r="G52" s="16"/>
      <c r="H52" s="17" t="s">
        <v>213</v>
      </c>
      <c r="I52" s="17" t="s">
        <v>214</v>
      </c>
      <c r="J52" s="17" t="s">
        <v>64</v>
      </c>
      <c r="K52" s="17" t="s">
        <v>215</v>
      </c>
      <c r="L52" s="17" t="s">
        <v>24</v>
      </c>
      <c r="M52" s="17"/>
    </row>
    <row r="53" customFormat="false" ht="23.25" hidden="false" customHeight="true" outlineLevel="0" collapsed="false">
      <c r="A53" s="16" t="n">
        <v>52</v>
      </c>
      <c r="B53" s="16" t="s">
        <v>29</v>
      </c>
      <c r="C53" s="16" t="s">
        <v>51</v>
      </c>
      <c r="D53" s="16" t="s">
        <v>216</v>
      </c>
      <c r="E53" s="16" t="s">
        <v>217</v>
      </c>
      <c r="F53" s="16"/>
      <c r="G53" s="16"/>
      <c r="H53" s="17" t="s">
        <v>218</v>
      </c>
      <c r="I53" s="17"/>
      <c r="J53" s="17" t="s">
        <v>64</v>
      </c>
      <c r="K53" s="17" t="s">
        <v>215</v>
      </c>
      <c r="L53" s="17" t="s">
        <v>24</v>
      </c>
      <c r="M53" s="17"/>
    </row>
    <row r="54" customFormat="false" ht="23.25" hidden="false" customHeight="true" outlineLevel="0" collapsed="false">
      <c r="A54" s="16" t="n">
        <v>53</v>
      </c>
      <c r="B54" s="16" t="s">
        <v>34</v>
      </c>
      <c r="C54" s="16" t="s">
        <v>51</v>
      </c>
      <c r="D54" s="16" t="s">
        <v>219</v>
      </c>
      <c r="E54" s="16" t="s">
        <v>220</v>
      </c>
      <c r="F54" s="16"/>
      <c r="G54" s="16"/>
      <c r="H54" s="17" t="s">
        <v>221</v>
      </c>
      <c r="I54" s="17"/>
      <c r="J54" s="17" t="s">
        <v>64</v>
      </c>
      <c r="K54" s="17" t="s">
        <v>215</v>
      </c>
      <c r="L54" s="17" t="s">
        <v>24</v>
      </c>
      <c r="M54" s="17"/>
    </row>
    <row r="55" customFormat="false" ht="15" hidden="false" customHeight="true" outlineLevel="0" collapsed="false">
      <c r="A55" s="16" t="n">
        <f aca="false">IF(D55="","",ROW()-1)</f>
        <v>54</v>
      </c>
      <c r="B55" s="17" t="s">
        <v>34</v>
      </c>
      <c r="C55" s="17" t="s">
        <v>51</v>
      </c>
      <c r="D55" s="17" t="s">
        <v>222</v>
      </c>
      <c r="E55" s="16" t="s">
        <v>223</v>
      </c>
      <c r="F55" s="16"/>
      <c r="G55" s="16"/>
      <c r="H55" s="17" t="s">
        <v>224</v>
      </c>
      <c r="I55" s="17"/>
      <c r="J55" s="17" t="s">
        <v>64</v>
      </c>
      <c r="K55" s="17" t="s">
        <v>82</v>
      </c>
      <c r="L55" s="17" t="s">
        <v>24</v>
      </c>
      <c r="M55" s="17"/>
    </row>
    <row r="56" customFormat="false" ht="15" hidden="false" customHeight="true" outlineLevel="0" collapsed="false">
      <c r="A56" s="16" t="n">
        <f aca="false">IF(D56="","",ROW()-1)</f>
        <v>55</v>
      </c>
      <c r="B56" s="17" t="s">
        <v>32</v>
      </c>
      <c r="C56" s="17" t="s">
        <v>58</v>
      </c>
      <c r="D56" s="17" t="s">
        <v>225</v>
      </c>
      <c r="E56" s="16" t="s">
        <v>226</v>
      </c>
      <c r="F56" s="16" t="s">
        <v>227</v>
      </c>
      <c r="G56" s="16"/>
      <c r="H56" s="17" t="s">
        <v>228</v>
      </c>
      <c r="I56" s="17"/>
      <c r="J56" s="17" t="s">
        <v>64</v>
      </c>
      <c r="K56" s="17" t="s">
        <v>82</v>
      </c>
      <c r="L56" s="17" t="s">
        <v>24</v>
      </c>
      <c r="M56" s="17"/>
    </row>
    <row r="57" customFormat="false" ht="15" hidden="false" customHeight="true" outlineLevel="0" collapsed="false">
      <c r="A57" s="16" t="n">
        <f aca="false">IF(D57="","",ROW()-1)</f>
        <v>56</v>
      </c>
      <c r="B57" s="17" t="s">
        <v>26</v>
      </c>
      <c r="C57" s="17" t="s">
        <v>46</v>
      </c>
      <c r="D57" s="17" t="s">
        <v>229</v>
      </c>
      <c r="E57" s="16" t="s">
        <v>230</v>
      </c>
      <c r="F57" s="16" t="s">
        <v>231</v>
      </c>
      <c r="G57" s="16"/>
      <c r="H57" s="17" t="s">
        <v>232</v>
      </c>
      <c r="I57" s="17" t="s">
        <v>233</v>
      </c>
      <c r="J57" s="17" t="s">
        <v>64</v>
      </c>
      <c r="K57" s="17" t="s">
        <v>82</v>
      </c>
      <c r="L57" s="17" t="s">
        <v>24</v>
      </c>
      <c r="M57" s="17"/>
    </row>
    <row r="58" customFormat="false" ht="15" hidden="false" customHeight="true" outlineLevel="0" collapsed="false">
      <c r="A58" s="16" t="n">
        <f aca="false">IF(D58="","",ROW()-1)</f>
        <v>57</v>
      </c>
      <c r="B58" s="17" t="s">
        <v>29</v>
      </c>
      <c r="C58" s="17" t="s">
        <v>51</v>
      </c>
      <c r="D58" s="17" t="s">
        <v>234</v>
      </c>
      <c r="E58" s="16" t="s">
        <v>113</v>
      </c>
      <c r="F58" s="16" t="s">
        <v>235</v>
      </c>
      <c r="G58" s="16" t="s">
        <v>165</v>
      </c>
      <c r="H58" s="17" t="s">
        <v>236</v>
      </c>
      <c r="I58" s="17" t="s">
        <v>237</v>
      </c>
      <c r="J58" s="17" t="s">
        <v>64</v>
      </c>
      <c r="K58" s="17" t="s">
        <v>65</v>
      </c>
      <c r="L58" s="17" t="s">
        <v>24</v>
      </c>
      <c r="M58" s="17"/>
    </row>
    <row r="59" customFormat="false" ht="15" hidden="false" customHeight="true" outlineLevel="0" collapsed="false">
      <c r="A59" s="16" t="n">
        <f aca="false">IF(D59="","",ROW()-1)</f>
        <v>58</v>
      </c>
      <c r="B59" s="17" t="s">
        <v>26</v>
      </c>
      <c r="C59" s="17" t="s">
        <v>58</v>
      </c>
      <c r="D59" s="17" t="s">
        <v>238</v>
      </c>
      <c r="E59" s="16" t="s">
        <v>239</v>
      </c>
      <c r="F59" s="16" t="s">
        <v>240</v>
      </c>
      <c r="G59" s="16"/>
      <c r="H59" s="17" t="s">
        <v>241</v>
      </c>
      <c r="I59" s="17" t="s">
        <v>81</v>
      </c>
      <c r="J59" s="17" t="s">
        <v>64</v>
      </c>
      <c r="K59" s="17" t="s">
        <v>82</v>
      </c>
      <c r="L59" s="17" t="s">
        <v>24</v>
      </c>
      <c r="M59" s="17"/>
    </row>
    <row r="60" customFormat="false" ht="15" hidden="false" customHeight="true" outlineLevel="0" collapsed="false">
      <c r="A60" s="16" t="n">
        <f aca="false">IF(D60="","",ROW()-1)</f>
        <v>59</v>
      </c>
      <c r="B60" s="17" t="s">
        <v>26</v>
      </c>
      <c r="C60" s="17" t="s">
        <v>46</v>
      </c>
      <c r="D60" s="17" t="s">
        <v>242</v>
      </c>
      <c r="E60" s="16" t="s">
        <v>243</v>
      </c>
      <c r="F60" s="16" t="s">
        <v>244</v>
      </c>
      <c r="G60" s="16"/>
      <c r="H60" s="17" t="s">
        <v>245</v>
      </c>
      <c r="I60" s="17" t="s">
        <v>246</v>
      </c>
      <c r="J60" s="17" t="s">
        <v>64</v>
      </c>
      <c r="K60" s="17" t="s">
        <v>82</v>
      </c>
      <c r="L60" s="17" t="s">
        <v>24</v>
      </c>
      <c r="M60" s="17"/>
    </row>
    <row r="61" customFormat="false" ht="15" hidden="false" customHeight="true" outlineLevel="0" collapsed="false">
      <c r="A61" s="16" t="str">
        <f aca="false">IF(D61="","",ROW()-1)</f>
        <v/>
      </c>
      <c r="B61" s="17"/>
      <c r="C61" s="17"/>
      <c r="D61" s="17"/>
      <c r="E61" s="16"/>
      <c r="F61" s="16"/>
      <c r="G61" s="16"/>
      <c r="H61" s="17"/>
      <c r="I61" s="17"/>
      <c r="J61" s="17"/>
      <c r="K61" s="17"/>
      <c r="L61" s="17"/>
      <c r="M61" s="17"/>
    </row>
    <row r="62" customFormat="false" ht="15" hidden="false" customHeight="true" outlineLevel="0" collapsed="false">
      <c r="A62" s="16" t="str">
        <f aca="false">IF(D62="","",ROW()-1)</f>
        <v/>
      </c>
      <c r="B62" s="17"/>
      <c r="C62" s="17"/>
      <c r="D62" s="17"/>
      <c r="E62" s="16"/>
      <c r="F62" s="16"/>
      <c r="G62" s="16"/>
      <c r="H62" s="17"/>
      <c r="I62" s="17"/>
      <c r="J62" s="17"/>
      <c r="K62" s="17"/>
      <c r="L62" s="17"/>
      <c r="M62" s="17"/>
    </row>
    <row r="63" customFormat="false" ht="15" hidden="false" customHeight="true" outlineLevel="0" collapsed="false">
      <c r="A63" s="16" t="str">
        <f aca="false">IF(D63="","",ROW()-1)</f>
        <v/>
      </c>
      <c r="B63" s="17"/>
      <c r="C63" s="17"/>
      <c r="D63" s="17"/>
      <c r="E63" s="16"/>
      <c r="F63" s="16"/>
      <c r="G63" s="16"/>
      <c r="H63" s="17"/>
      <c r="I63" s="17"/>
      <c r="J63" s="17"/>
      <c r="K63" s="17"/>
      <c r="L63" s="17"/>
      <c r="M63" s="17"/>
    </row>
    <row r="64" customFormat="false" ht="15" hidden="false" customHeight="true" outlineLevel="0" collapsed="false">
      <c r="A64" s="16" t="str">
        <f aca="false">IF(D64="","",ROW()-1)</f>
        <v/>
      </c>
      <c r="B64" s="17"/>
      <c r="C64" s="17"/>
      <c r="D64" s="17"/>
      <c r="E64" s="16"/>
      <c r="F64" s="16"/>
      <c r="G64" s="16"/>
      <c r="H64" s="17"/>
      <c r="I64" s="17"/>
      <c r="J64" s="17"/>
      <c r="K64" s="17"/>
      <c r="L64" s="17"/>
      <c r="M64" s="17"/>
    </row>
    <row r="65" customFormat="false" ht="15" hidden="false" customHeight="true" outlineLevel="0" collapsed="false">
      <c r="A65" s="16" t="str">
        <f aca="false">IF(D65="","",ROW()-1)</f>
        <v/>
      </c>
      <c r="B65" s="17"/>
      <c r="C65" s="17"/>
      <c r="D65" s="17"/>
      <c r="E65" s="16"/>
      <c r="F65" s="16"/>
      <c r="G65" s="16"/>
      <c r="H65" s="17"/>
      <c r="I65" s="17"/>
      <c r="J65" s="17"/>
      <c r="K65" s="17"/>
      <c r="L65" s="17"/>
      <c r="M65" s="17"/>
    </row>
    <row r="66" customFormat="false" ht="15" hidden="false" customHeight="true" outlineLevel="0" collapsed="false">
      <c r="A66" s="16" t="str">
        <f aca="false">IF(D66="","",ROW()-1)</f>
        <v/>
      </c>
      <c r="B66" s="17"/>
      <c r="C66" s="17"/>
      <c r="D66" s="17"/>
      <c r="E66" s="16"/>
      <c r="F66" s="16"/>
      <c r="G66" s="16"/>
      <c r="H66" s="17"/>
      <c r="I66" s="17"/>
      <c r="J66" s="17"/>
      <c r="K66" s="17"/>
      <c r="L66" s="17"/>
      <c r="M66" s="17"/>
    </row>
    <row r="67" customFormat="false" ht="15" hidden="false" customHeight="true" outlineLevel="0" collapsed="false">
      <c r="A67" s="16" t="str">
        <f aca="false">IF(D67="","",ROW()-1)</f>
        <v/>
      </c>
      <c r="B67" s="17"/>
      <c r="C67" s="17"/>
      <c r="D67" s="17"/>
      <c r="E67" s="16"/>
      <c r="F67" s="16"/>
      <c r="G67" s="16"/>
      <c r="H67" s="17"/>
      <c r="I67" s="17"/>
      <c r="J67" s="17"/>
      <c r="K67" s="17"/>
      <c r="L67" s="17"/>
      <c r="M67" s="17"/>
    </row>
    <row r="68" customFormat="false" ht="15" hidden="false" customHeight="true" outlineLevel="0" collapsed="false">
      <c r="A68" s="16" t="str">
        <f aca="false">IF(D68="","",ROW()-1)</f>
        <v/>
      </c>
      <c r="B68" s="17"/>
      <c r="C68" s="17"/>
      <c r="D68" s="17"/>
      <c r="E68" s="16"/>
      <c r="F68" s="16"/>
      <c r="G68" s="16"/>
      <c r="H68" s="17"/>
      <c r="I68" s="17"/>
      <c r="J68" s="17"/>
      <c r="K68" s="17"/>
      <c r="L68" s="17"/>
      <c r="M68" s="17"/>
    </row>
    <row r="69" customFormat="false" ht="15" hidden="false" customHeight="true" outlineLevel="0" collapsed="false">
      <c r="A69" s="16" t="str">
        <f aca="false">IF(D69="","",ROW()-1)</f>
        <v/>
      </c>
      <c r="B69" s="17"/>
      <c r="C69" s="17"/>
      <c r="D69" s="17"/>
      <c r="E69" s="16"/>
      <c r="F69" s="16"/>
      <c r="G69" s="16"/>
      <c r="H69" s="17"/>
      <c r="I69" s="17"/>
      <c r="J69" s="17"/>
      <c r="K69" s="17"/>
      <c r="L69" s="17"/>
      <c r="M69" s="17"/>
    </row>
    <row r="70" customFormat="false" ht="15" hidden="false" customHeight="true" outlineLevel="0" collapsed="false">
      <c r="A70" s="16" t="str">
        <f aca="false">IF(D70="","",ROW()-1)</f>
        <v/>
      </c>
      <c r="B70" s="17"/>
      <c r="C70" s="17"/>
      <c r="D70" s="17"/>
      <c r="E70" s="16"/>
      <c r="F70" s="16"/>
      <c r="G70" s="16"/>
      <c r="H70" s="17"/>
      <c r="I70" s="17"/>
      <c r="J70" s="17"/>
      <c r="K70" s="17"/>
      <c r="L70" s="17"/>
      <c r="M70" s="17"/>
    </row>
    <row r="71" customFormat="false" ht="15" hidden="false" customHeight="true" outlineLevel="0" collapsed="false">
      <c r="A71" s="16" t="str">
        <f aca="false">IF(D71="","",ROW()-1)</f>
        <v/>
      </c>
      <c r="B71" s="17"/>
      <c r="C71" s="17"/>
      <c r="D71" s="17"/>
      <c r="E71" s="16"/>
      <c r="F71" s="16"/>
      <c r="G71" s="16"/>
      <c r="H71" s="17"/>
      <c r="I71" s="17"/>
      <c r="J71" s="17"/>
      <c r="K71" s="17"/>
      <c r="L71" s="17"/>
      <c r="M71" s="17"/>
    </row>
    <row r="72" customFormat="false" ht="15" hidden="false" customHeight="true" outlineLevel="0" collapsed="false">
      <c r="A72" s="16" t="str">
        <f aca="false">IF(D72="","",ROW()-1)</f>
        <v/>
      </c>
      <c r="B72" s="17"/>
      <c r="C72" s="17"/>
      <c r="D72" s="17"/>
      <c r="E72" s="16"/>
      <c r="F72" s="16"/>
      <c r="G72" s="16"/>
      <c r="H72" s="17"/>
      <c r="I72" s="17"/>
      <c r="J72" s="17"/>
      <c r="K72" s="17"/>
      <c r="L72" s="17"/>
      <c r="M72" s="17"/>
    </row>
    <row r="73" customFormat="false" ht="15" hidden="false" customHeight="true" outlineLevel="0" collapsed="false">
      <c r="A73" s="16" t="str">
        <f aca="false">IF(D73="","",ROW()-1)</f>
        <v/>
      </c>
      <c r="B73" s="17"/>
      <c r="C73" s="17"/>
      <c r="D73" s="17"/>
      <c r="E73" s="16"/>
      <c r="F73" s="16"/>
      <c r="G73" s="16"/>
      <c r="H73" s="17"/>
      <c r="I73" s="17"/>
      <c r="J73" s="17"/>
      <c r="K73" s="17"/>
      <c r="L73" s="17"/>
      <c r="M73" s="17"/>
    </row>
    <row r="74" customFormat="false" ht="15" hidden="false" customHeight="true" outlineLevel="0" collapsed="false">
      <c r="A74" s="16" t="str">
        <f aca="false">IF(D74="","",ROW()-1)</f>
        <v/>
      </c>
      <c r="B74" s="17"/>
      <c r="C74" s="17"/>
      <c r="D74" s="17"/>
      <c r="E74" s="16"/>
      <c r="F74" s="16"/>
      <c r="G74" s="16"/>
      <c r="H74" s="17"/>
      <c r="I74" s="17"/>
      <c r="J74" s="17"/>
      <c r="K74" s="17"/>
      <c r="L74" s="17"/>
      <c r="M74" s="17"/>
    </row>
  </sheetData>
  <autoFilter ref="A1:M54"/>
  <dataValidations count="2">
    <dataValidation allowBlank="true" errorStyle="stop" operator="between" showDropDown="false" showErrorMessage="false" showInputMessage="false" sqref="L2:L114" type="list">
      <formula1>"Відкрито,Відповідь отримано,Потрібен скрипт BAZIS,Внесено в Elvin"</formula1>
      <formula2>0</formula2>
    </dataValidation>
    <dataValidation allowBlank="true" errorStyle="stop" operator="between" showDropDown="false" showErrorMessage="false" showInputMessage="false" sqref="C2:C114" type="list">
      <formula1>"Високий,Середній,Низький"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2026-10-15T19:14:41Z</dcterms:created>
  <dc:creator>openpyxl</dc:creator>
  <dc:description/>
  <dc:language>en-US</dc:language>
  <cp:lastModifiedBy/>
  <dcterms:modified xsi:type="dcterms:W3CDTF">2026-10-17T09:56:40Z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